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tcs\docs\phase6\"/>
    </mc:Choice>
  </mc:AlternateContent>
  <xr:revisionPtr revIDLastSave="0" documentId="13_ncr:1_{107F40DF-0AB9-4FBA-98B0-E7E0ABBAB269}" xr6:coauthVersionLast="47" xr6:coauthVersionMax="47" xr10:uidLastSave="{00000000-0000-0000-0000-000000000000}"/>
  <bookViews>
    <workbookView xWindow="-78" yWindow="0" windowWidth="11676" windowHeight="13758" firstSheet="1" activeTab="5" xr2:uid="{00000000-000D-0000-FFFF-FFFF00000000}"/>
  </bookViews>
  <sheets>
    <sheet name="Critical Path Analysis" sheetId="1" r:id="rId1"/>
    <sheet name="CHARM Mode Arbitration" sheetId="2" r:id="rId2"/>
    <sheet name="Sensor Bandwidth" sheetId="13" r:id="rId3"/>
    <sheet name="Dual EKF Status" sheetId="4" r:id="rId4"/>
    <sheet name="Memory Budget" sheetId="5" r:id="rId5"/>
    <sheet name="Thread Architecture" sheetId="6" r:id="rId6"/>
    <sheet name="Hardware Watchdog" sheetId="8" r:id="rId7"/>
    <sheet name="Network Analysis" sheetId="9" r:id="rId8"/>
    <sheet name="IPC Interface" sheetId="10" r:id="rId9"/>
    <sheet name="Test Coverage" sheetId="11" r:id="rId10"/>
    <sheet name="Compliance Summary" sheetId="12" r:id="rId11"/>
  </sheets>
  <definedNames>
    <definedName name="_xlnm._FilterDatabase" localSheetId="5" hidden="1">'Thread Architecture'!$A$1:$I$1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3" l="1"/>
  <c r="F17" i="13" s="1"/>
  <c r="D16" i="13"/>
  <c r="F16" i="13" s="1"/>
  <c r="D15" i="13"/>
  <c r="F15" i="13" s="1"/>
  <c r="D14" i="13"/>
  <c r="E14" i="13" s="1"/>
  <c r="G14" i="13" s="1"/>
  <c r="J14" i="13" s="1"/>
  <c r="D13" i="13"/>
  <c r="E13" i="13" s="1"/>
  <c r="G13" i="13" s="1"/>
  <c r="J13" i="13" s="1"/>
  <c r="D12" i="13"/>
  <c r="F12" i="13" s="1"/>
  <c r="D11" i="13"/>
  <c r="E11" i="13" s="1"/>
  <c r="G11" i="13" s="1"/>
  <c r="J11" i="13" s="1"/>
  <c r="D10" i="13"/>
  <c r="F10" i="13" s="1"/>
  <c r="D9" i="13"/>
  <c r="F9" i="13" s="1"/>
  <c r="D8" i="13"/>
  <c r="F8" i="13" s="1"/>
  <c r="D7" i="13"/>
  <c r="F7" i="13" s="1"/>
  <c r="D6" i="13"/>
  <c r="F6" i="13" s="1"/>
  <c r="D5" i="13"/>
  <c r="F5" i="13" s="1"/>
  <c r="D4" i="13"/>
  <c r="F4" i="13" s="1"/>
  <c r="D3" i="13"/>
  <c r="F3" i="13" s="1"/>
  <c r="D2" i="13"/>
  <c r="F2" i="13" s="1"/>
  <c r="I8" i="6"/>
  <c r="I2" i="6"/>
  <c r="C7" i="9"/>
  <c r="B7" i="9"/>
  <c r="E7" i="9" s="1"/>
  <c r="E6" i="9"/>
  <c r="D6" i="9"/>
  <c r="E5" i="9"/>
  <c r="D5" i="9"/>
  <c r="E4" i="9"/>
  <c r="D4" i="9"/>
  <c r="E3" i="9"/>
  <c r="D3" i="9"/>
  <c r="E2" i="9"/>
  <c r="D2" i="9"/>
  <c r="I4" i="6"/>
  <c r="I14" i="6"/>
  <c r="I13" i="6"/>
  <c r="I12" i="6"/>
  <c r="I18" i="6"/>
  <c r="I17" i="6"/>
  <c r="I9" i="6"/>
  <c r="I7" i="6"/>
  <c r="I10" i="6"/>
  <c r="I11" i="6"/>
  <c r="I3" i="6"/>
  <c r="I6" i="6"/>
  <c r="B23" i="5"/>
  <c r="B10" i="1"/>
  <c r="D14" i="1" s="1"/>
  <c r="E2" i="13" l="1"/>
  <c r="G2" i="13" s="1"/>
  <c r="J2" i="13" s="1"/>
  <c r="E17" i="13"/>
  <c r="G17" i="13" s="1"/>
  <c r="J17" i="13" s="1"/>
  <c r="H7" i="13"/>
  <c r="I7" i="13"/>
  <c r="I8" i="13"/>
  <c r="H8" i="13"/>
  <c r="I9" i="13"/>
  <c r="H9" i="13"/>
  <c r="I10" i="13"/>
  <c r="H10" i="13"/>
  <c r="I12" i="13"/>
  <c r="H12" i="13"/>
  <c r="F14" i="13"/>
  <c r="E4" i="13"/>
  <c r="G4" i="13" s="1"/>
  <c r="J4" i="13" s="1"/>
  <c r="E8" i="13"/>
  <c r="G8" i="13" s="1"/>
  <c r="J8" i="13" s="1"/>
  <c r="E5" i="13"/>
  <c r="G5" i="13" s="1"/>
  <c r="J5" i="13" s="1"/>
  <c r="E15" i="13"/>
  <c r="G15" i="13" s="1"/>
  <c r="J15" i="13" s="1"/>
  <c r="E12" i="13"/>
  <c r="G12" i="13" s="1"/>
  <c r="J12" i="13" s="1"/>
  <c r="E9" i="13"/>
  <c r="G9" i="13" s="1"/>
  <c r="J9" i="13" s="1"/>
  <c r="E6" i="13"/>
  <c r="G6" i="13" s="1"/>
  <c r="J6" i="13" s="1"/>
  <c r="E16" i="13"/>
  <c r="G16" i="13" s="1"/>
  <c r="J16" i="13" s="1"/>
  <c r="F11" i="13"/>
  <c r="F13" i="13"/>
  <c r="E10" i="13"/>
  <c r="G10" i="13" s="1"/>
  <c r="J10" i="13" s="1"/>
  <c r="E7" i="13"/>
  <c r="G7" i="13" s="1"/>
  <c r="J7" i="13" s="1"/>
  <c r="E3" i="13"/>
  <c r="G3" i="13" s="1"/>
  <c r="J3" i="13" s="1"/>
  <c r="C14" i="1"/>
  <c r="D15" i="1" s="1"/>
  <c r="C15" i="1"/>
  <c r="D7" i="9"/>
  <c r="I13" i="13" l="1"/>
  <c r="H13" i="13"/>
  <c r="I11" i="13"/>
  <c r="H11" i="13"/>
  <c r="I14" i="13"/>
  <c r="H14" i="13"/>
</calcChain>
</file>

<file path=xl/sharedStrings.xml><?xml version="1.0" encoding="utf-8"?>
<sst xmlns="http://schemas.openxmlformats.org/spreadsheetml/2006/main" count="554" uniqueCount="375">
  <si>
    <t>Component</t>
  </si>
  <si>
    <t>Optimization</t>
  </si>
  <si>
    <t>Implementation Status</t>
  </si>
  <si>
    <t>Priority</t>
  </si>
  <si>
    <t>Compliance</t>
  </si>
  <si>
    <t>Notes</t>
  </si>
  <si>
    <t>VN-210 Serial Operations</t>
  </si>
  <si>
    <t>Zero-copy DMA</t>
  </si>
  <si>
    <t>NOT STARTED</t>
  </si>
  <si>
    <t>CRITICAL</t>
  </si>
  <si>
    <t>REQUIRED</t>
  </si>
  <si>
    <t>LOW</t>
  </si>
  <si>
    <t>Fusion Predict Step</t>
  </si>
  <si>
    <t>None needed</t>
  </si>
  <si>
    <t>N/A</t>
  </si>
  <si>
    <t>Fusion Update Step</t>
  </si>
  <si>
    <t>SIMD Vectorization</t>
  </si>
  <si>
    <t>HIGH</t>
  </si>
  <si>
    <t>Fusion Matrix Operations</t>
  </si>
  <si>
    <t>SIMD (included above)</t>
  </si>
  <si>
    <t>IPC Overhead</t>
  </si>
  <si>
    <t>SeqLock pattern</t>
  </si>
  <si>
    <t>MEDIUM</t>
  </si>
  <si>
    <t>Trajectory Computation</t>
  </si>
  <si>
    <t>TOTAL CRITICAL PATH</t>
  </si>
  <si>
    <t>SIL 3 COMPLIANCE VERIFICATION</t>
  </si>
  <si>
    <t>Metric</t>
  </si>
  <si>
    <t>Required</t>
  </si>
  <si>
    <t>Target</t>
  </si>
  <si>
    <t>Status</t>
  </si>
  <si>
    <t>Critical Path Latency</t>
  </si>
  <si>
    <t>≤180 μs</t>
  </si>
  <si>
    <t>Safety Margin</t>
  </si>
  <si>
    <t>≥28%</t>
  </si>
  <si>
    <t>Deadline Miss Rate</t>
  </si>
  <si>
    <t>&lt;0.01%</t>
  </si>
  <si>
    <t>&lt;0.001%</t>
  </si>
  <si>
    <t>PASS</t>
  </si>
  <si>
    <t>Memory Fragmentation</t>
  </si>
  <si>
    <t>&lt;10%</t>
  </si>
  <si>
    <t>5%</t>
  </si>
  <si>
    <t>CHARM AUTONOMOUS DART TRACKER - MODE ARBITRATION CONTROLLER</t>
  </si>
  <si>
    <t>Mode</t>
  </si>
  <si>
    <t>Active Condition</t>
  </si>
  <si>
    <t>Tracker Control</t>
  </si>
  <si>
    <t>Host EKF Role</t>
  </si>
  <si>
    <t>Failover Trigger</t>
  </si>
  <si>
    <t>Transition Time (ms)</t>
  </si>
  <si>
    <t>CPU Usage (%)</t>
  </si>
  <si>
    <t>Memory (MB)</t>
  </si>
  <si>
    <t>Bandwidth (Mbps)</t>
  </si>
  <si>
    <t>Safety Level</t>
  </si>
  <si>
    <t>Autonomous</t>
  </si>
  <si>
    <t>High confidence track</t>
  </si>
  <si>
    <t>DART Full Control</t>
  </si>
  <si>
    <t>Monitor only</t>
  </si>
  <si>
    <t>Track loss &gt;5 frames</t>
  </si>
  <si>
    <t>PRIMARY</t>
  </si>
  <si>
    <t>Host-Assisted</t>
  </si>
  <si>
    <t>Medium confidence</t>
  </si>
  <si>
    <t>DART Primary</t>
  </si>
  <si>
    <t>Correction inputs</t>
  </si>
  <si>
    <t>Divergence &gt;10m</t>
  </si>
  <si>
    <t>BACKUP</t>
  </si>
  <si>
    <t>Hybrid</t>
  </si>
  <si>
    <t>Track handoff</t>
  </si>
  <si>
    <t>50/50 Weighted</t>
  </si>
  <si>
    <t>Equal weight</t>
  </si>
  <si>
    <t>Any sensor fault</t>
  </si>
  <si>
    <t>TRANSITION</t>
  </si>
  <si>
    <t>Host-Controlled</t>
  </si>
  <si>
    <t>DART failure</t>
  </si>
  <si>
    <t>Disabled</t>
  </si>
  <si>
    <t>Full Control</t>
  </si>
  <si>
    <t>DART timeout</t>
  </si>
  <si>
    <t>FALLBACK</t>
  </si>
  <si>
    <t>Safe Mode</t>
  </si>
  <si>
    <t>Multiple failures</t>
  </si>
  <si>
    <t>Best-effort</t>
  </si>
  <si>
    <t>Critical fault</t>
  </si>
  <si>
    <t>EMERGENCY</t>
  </si>
  <si>
    <t>FAILOVER TRIGGER MATRIX</t>
  </si>
  <si>
    <t>From Mode</t>
  </si>
  <si>
    <t>To Mode</t>
  </si>
  <si>
    <t>Trigger Condition</t>
  </si>
  <si>
    <t>Decision Time (ms)</t>
  </si>
  <si>
    <t>Data Loss (%)</t>
  </si>
  <si>
    <t>Recovery Action</t>
  </si>
  <si>
    <t>Track confidence &lt;0.7</t>
  </si>
  <si>
    <t>Blend predictions</t>
  </si>
  <si>
    <t>Position error &gt;5m</t>
  </si>
  <si>
    <t>Weight adjustment</t>
  </si>
  <si>
    <t>DART timeout 100ms</t>
  </si>
  <si>
    <t>Full takeover</t>
  </si>
  <si>
    <t>Any</t>
  </si>
  <si>
    <t>Dual EKF divergence</t>
  </si>
  <si>
    <t>Freeze &amp; alert</t>
  </si>
  <si>
    <t>Sensor Name</t>
  </si>
  <si>
    <t>Update Rate (Hz)</t>
  </si>
  <si>
    <t>Packet Size (bytes)</t>
  </si>
  <si>
    <t>Data Rate (B/s)</t>
  </si>
  <si>
    <t>Data Rate (MB/s)</t>
  </si>
  <si>
    <t>Data Rate (Mbps)</t>
  </si>
  <si>
    <t>Memory BW (MB/s)</t>
  </si>
  <si>
    <t>% of GbE</t>
  </si>
  <si>
    <t>% of 10 GbE</t>
  </si>
  <si>
    <t>% of DDR4</t>
  </si>
  <si>
    <t>Protocol</t>
  </si>
  <si>
    <t>Port</t>
  </si>
  <si>
    <t>Thread Priority</t>
  </si>
  <si>
    <t>CPU Core</t>
  </si>
  <si>
    <t>Latency Budget (μs)</t>
  </si>
  <si>
    <t>VN-210 INS</t>
  </si>
  <si>
    <t>RS-232 921.6k</t>
  </si>
  <si>
    <t>Serial Port 1</t>
  </si>
  <si>
    <t>VN-210 NAV</t>
  </si>
  <si>
    <t>POS1 PTU</t>
  </si>
  <si>
    <t>RS-232 115.2k</t>
  </si>
  <si>
    <t>Serial Port 2</t>
  </si>
  <si>
    <t>POS2 PTU</t>
  </si>
  <si>
    <t>Serial Port 3</t>
  </si>
  <si>
    <t>POS3 PTU</t>
  </si>
  <si>
    <t>Serial Port 4</t>
  </si>
  <si>
    <t>UDP Device (Telem)</t>
  </si>
  <si>
    <t>UDP</t>
  </si>
  <si>
    <t>50001</t>
  </si>
  <si>
    <t>UDP Device (Status)</t>
  </si>
  <si>
    <t>50002</t>
  </si>
  <si>
    <t>Radar</t>
  </si>
  <si>
    <t>50003</t>
  </si>
  <si>
    <t>CHARM IR</t>
  </si>
  <si>
    <t>50006</t>
  </si>
  <si>
    <t>CHARM Video</t>
  </si>
  <si>
    <t>50007</t>
  </si>
  <si>
    <t>SIRV</t>
  </si>
  <si>
    <t>50011</t>
  </si>
  <si>
    <t>GUI (Commands)</t>
  </si>
  <si>
    <t>iceoryx</t>
  </si>
  <si>
    <t>GUI (Telemetry)</t>
  </si>
  <si>
    <t>Star Tracker</t>
  </si>
  <si>
    <t>Internal</t>
  </si>
  <si>
    <t>Mode Arbitration</t>
  </si>
  <si>
    <t>Dual EKF Updates</t>
  </si>
  <si>
    <t>DUAL EKF REDUNDANCY - IEC 61508 SIL 3 REQUIREMENT</t>
  </si>
  <si>
    <t>EKF Instance</t>
  </si>
  <si>
    <t>Type</t>
  </si>
  <si>
    <t>State Dimension</t>
  </si>
  <si>
    <t>Sensors Used</t>
  </si>
  <si>
    <t>Latency (μs)</t>
  </si>
  <si>
    <t>Divergence Check</t>
  </si>
  <si>
    <t>Primary EKF</t>
  </si>
  <si>
    <t>Full Multi-Rate</t>
  </si>
  <si>
    <t>All 11 sensors</t>
  </si>
  <si>
    <t>Every cycle</t>
  </si>
  <si>
    <t>Backup EKF</t>
  </si>
  <si>
    <t>Simplified</t>
  </si>
  <si>
    <t>VN-210, Radar, POS1/2</t>
  </si>
  <si>
    <t>Cross-Validator</t>
  </si>
  <si>
    <t>Monitor</t>
  </si>
  <si>
    <t>Both EKF outputs</t>
  </si>
  <si>
    <t>Continuous</t>
  </si>
  <si>
    <t>DIVERGENCE TRIGGERS AND ACTIONS</t>
  </si>
  <si>
    <t>Condition</t>
  </si>
  <si>
    <t>Threshold</t>
  </si>
  <si>
    <t>Detection Time (ms)</t>
  </si>
  <si>
    <t>Action</t>
  </si>
  <si>
    <t>Recovery</t>
  </si>
  <si>
    <t>Position difference</t>
  </si>
  <si>
    <t>&gt;10 meters</t>
  </si>
  <si>
    <t>Switch to backup</t>
  </si>
  <si>
    <t>Reinitialize primary</t>
  </si>
  <si>
    <t>Velocity difference</t>
  </si>
  <si>
    <t>&gt;5 m/s</t>
  </si>
  <si>
    <t>Alert operator</t>
  </si>
  <si>
    <t>Weighted average</t>
  </si>
  <si>
    <t>Covariance explosion</t>
  </si>
  <si>
    <t>&gt;1000%</t>
  </si>
  <si>
    <t>Emergency stop</t>
  </si>
  <si>
    <t>Full reset</t>
  </si>
  <si>
    <t>NaN/Inf detected</t>
  </si>
  <si>
    <t>Immediate switch</t>
  </si>
  <si>
    <t>Isolate sensor</t>
  </si>
  <si>
    <t>Allocation (MB)</t>
  </si>
  <si>
    <t>Used (MB)</t>
  </si>
  <si>
    <t>Free (MB)</t>
  </si>
  <si>
    <t>Utilization (%)</t>
  </si>
  <si>
    <t>Fragmentation (%)</t>
  </si>
  <si>
    <t>Core System</t>
  </si>
  <si>
    <t>Small Pool (64B)</t>
  </si>
  <si>
    <t>Medium Pool (1KB)</t>
  </si>
  <si>
    <t>Large Pool (64KB)</t>
  </si>
  <si>
    <t>VN-210 DMA Buffers</t>
  </si>
  <si>
    <t>Radar DBSCAN</t>
  </si>
  <si>
    <t>Multi-Rate EKF</t>
  </si>
  <si>
    <t>CHARM IR Buffer</t>
  </si>
  <si>
    <t>CHARM Video Buffer</t>
  </si>
  <si>
    <t>POS1/2/3 Buffers</t>
  </si>
  <si>
    <t>SIRV Buffer</t>
  </si>
  <si>
    <t>GUI Buffers</t>
  </si>
  <si>
    <t>DART Tracker</t>
  </si>
  <si>
    <t>Mode Controller</t>
  </si>
  <si>
    <t>Dual Stream Mgmt</t>
  </si>
  <si>
    <t>Failover Cache</t>
  </si>
  <si>
    <t>TOTAL ALLOCATED</t>
  </si>
  <si>
    <t>Thread Name</t>
  </si>
  <si>
    <t>Rate (Hz)</t>
  </si>
  <si>
    <t>Affinity</t>
  </si>
  <si>
    <t>Stack Size (KB)</t>
  </si>
  <si>
    <t>Deadline (μs)</t>
  </si>
  <si>
    <t>WCET (μs)</t>
  </si>
  <si>
    <t>ISOLATED</t>
  </si>
  <si>
    <t>POS1/2 GPS</t>
  </si>
  <si>
    <t>Sensor Fusion</t>
  </si>
  <si>
    <t>UDP Receiver</t>
  </si>
  <si>
    <t>POS3 Optical</t>
  </si>
  <si>
    <t>GUI Command</t>
  </si>
  <si>
    <t>NORMAL</t>
  </si>
  <si>
    <t>Data Manager</t>
  </si>
  <si>
    <t>CHARM Controller</t>
  </si>
  <si>
    <t>CHARM IR/Video</t>
  </si>
  <si>
    <t>Rate increased</t>
  </si>
  <si>
    <t>Storage</t>
  </si>
  <si>
    <t>Async</t>
  </si>
  <si>
    <t>Analytics</t>
  </si>
  <si>
    <t>Watchdog</t>
  </si>
  <si>
    <t>Scheduler</t>
  </si>
  <si>
    <t>KERNEL</t>
  </si>
  <si>
    <t>HARDWARE WATCHDOG TIMER - IEC 61508 SIL 3 REQUIREMENT</t>
  </si>
  <si>
    <t>Timeout (ms)</t>
  </si>
  <si>
    <t>Reset Action</t>
  </si>
  <si>
    <t>Monitored Threads</t>
  </si>
  <si>
    <t>Fault Detection</t>
  </si>
  <si>
    <t>MTBF (hours)</t>
  </si>
  <si>
    <t>Primary Watchdog</t>
  </si>
  <si>
    <t>System reset</t>
  </si>
  <si>
    <t>All RT threads</t>
  </si>
  <si>
    <t>&lt;1 ms</t>
  </si>
  <si>
    <t>Backup Watchdog</t>
  </si>
  <si>
    <t>External IC (MAX6369)</t>
  </si>
  <si>
    <t>CPU reset</t>
  </si>
  <si>
    <t>Fusion + VN-210</t>
  </si>
  <si>
    <t>&lt;5 ms</t>
  </si>
  <si>
    <t>Software Monitor</t>
  </si>
  <si>
    <t>Thread</t>
  </si>
  <si>
    <t>Alert only</t>
  </si>
  <si>
    <t>All threads</t>
  </si>
  <si>
    <t>&lt;10 ms</t>
  </si>
  <si>
    <t>Deadline Monitor</t>
  </si>
  <si>
    <t>Kernel (PREEMPT_RT)</t>
  </si>
  <si>
    <t>Priority boost</t>
  </si>
  <si>
    <t>RT threads</t>
  </si>
  <si>
    <t>&lt;100 μs</t>
  </si>
  <si>
    <t>DEADLINE MISS HANDLING</t>
  </si>
  <si>
    <t>Miss Action</t>
  </si>
  <si>
    <t>Max Retries</t>
  </si>
  <si>
    <t>Log + Skip frame</t>
  </si>
  <si>
    <t>Use previous</t>
  </si>
  <si>
    <t>Switch to backup EKF</t>
  </si>
  <si>
    <t>Reinitialize</t>
  </si>
  <si>
    <t>Use predicted</t>
  </si>
  <si>
    <t>Reacquire</t>
  </si>
  <si>
    <t>CHARM</t>
  </si>
  <si>
    <t>Switch mode</t>
  </si>
  <si>
    <t>Host control</t>
  </si>
  <si>
    <t>Packet Rate (pps)</t>
  </si>
  <si>
    <t>% of 1 GbE</t>
  </si>
  <si>
    <t>Fits 1 GbE?</t>
  </si>
  <si>
    <t>Fits 10 GbE?</t>
  </si>
  <si>
    <t>Compression</t>
  </si>
  <si>
    <t>NO</t>
  </si>
  <si>
    <t>YES</t>
  </si>
  <si>
    <t>GPU processing</t>
  </si>
  <si>
    <t>UDP Device</t>
  </si>
  <si>
    <t>TOTAL</t>
  </si>
  <si>
    <t>Topic Name</t>
  </si>
  <si>
    <t>Data Type</t>
  </si>
  <si>
    <t>Size (bytes)</t>
  </si>
  <si>
    <t>Publisher</t>
  </si>
  <si>
    <t>/fusion/state</t>
  </si>
  <si>
    <t>FusionState</t>
  </si>
  <si>
    <t>&lt;1</t>
  </si>
  <si>
    <t>/fusion/covariance</t>
  </si>
  <si>
    <t>FusionCovariance</t>
  </si>
  <si>
    <t>/sensors/vn310/imu</t>
  </si>
  <si>
    <t>VN310_IMU</t>
  </si>
  <si>
    <t>VN-210 Reader</t>
  </si>
  <si>
    <t>/sensors/radar/clusters</t>
  </si>
  <si>
    <t>RadarClusters</t>
  </si>
  <si>
    <t>Radar Reader</t>
  </si>
  <si>
    <t>/charm/mode</t>
  </si>
  <si>
    <t>CharmMode</t>
  </si>
  <si>
    <t>/charm/failover</t>
  </si>
  <si>
    <t>FailoverStatus</t>
  </si>
  <si>
    <t>/charm/ir_track</t>
  </si>
  <si>
    <t>IRTrackData</t>
  </si>
  <si>
    <t>/charm/video_track</t>
  </si>
  <si>
    <t>VideoTrackData</t>
  </si>
  <si>
    <t>/ekf/divergence</t>
  </si>
  <si>
    <t>EKFDivergence</t>
  </si>
  <si>
    <t>/watchdog/heartbeat</t>
  </si>
  <si>
    <t>Heartbeat</t>
  </si>
  <si>
    <t>Test Category</t>
  </si>
  <si>
    <t>Required Coverage</t>
  </si>
  <si>
    <t>Current Coverage</t>
  </si>
  <si>
    <t>Gap</t>
  </si>
  <si>
    <t>Tests Added</t>
  </si>
  <si>
    <t>CI/CD Gate</t>
  </si>
  <si>
    <t>Unit Tests</t>
  </si>
  <si>
    <t>≥90%</t>
  </si>
  <si>
    <t>Optimization paths</t>
  </si>
  <si>
    <t>Integration Tests</t>
  </si>
  <si>
    <t>≥80%</t>
  </si>
  <si>
    <t>CHARM modes</t>
  </si>
  <si>
    <t>Critical Path</t>
  </si>
  <si>
    <t>100%</t>
  </si>
  <si>
    <t>Latency validation</t>
  </si>
  <si>
    <t>Memory Tests</t>
  </si>
  <si>
    <t>Fragmentation</t>
  </si>
  <si>
    <t>Failover Tests</t>
  </si>
  <si>
    <t>95%</t>
  </si>
  <si>
    <t>Mode transitions</t>
  </si>
  <si>
    <t>Custom</t>
  </si>
  <si>
    <t>Stress Tests</t>
  </si>
  <si>
    <t>24-hour</t>
  </si>
  <si>
    <t>Full system</t>
  </si>
  <si>
    <t>Dual EKF</t>
  </si>
  <si>
    <t>Divergence cases</t>
  </si>
  <si>
    <t>Hardware integration</t>
  </si>
  <si>
    <t>IEC 61508 SIL 3 COMPLIANCE SUMMARY - PHASE 6</t>
  </si>
  <si>
    <t>Requirement</t>
  </si>
  <si>
    <t>Standard</t>
  </si>
  <si>
    <t>Completion</t>
  </si>
  <si>
    <t>Certification Ready</t>
  </si>
  <si>
    <t>Critical Path ≤180 μs</t>
  </si>
  <si>
    <t>IEC 61508-3</t>
  </si>
  <si>
    <t>170 μs</t>
  </si>
  <si>
    <t>0%</t>
  </si>
  <si>
    <t>Safety Margin ≥28%</t>
  </si>
  <si>
    <t>Dual EKF Redundancy</t>
  </si>
  <si>
    <t>IEC 61508-2</t>
  </si>
  <si>
    <t>Hardware Watchdog</t>
  </si>
  <si>
    <t>Fault Isolation</t>
  </si>
  <si>
    <t>IPC separation</t>
  </si>
  <si>
    <t>Deterministic Memory</t>
  </si>
  <si>
    <t>DO-178C</t>
  </si>
  <si>
    <t>o1heap pools</t>
  </si>
  <si>
    <t>No Dynamic Allocation</t>
  </si>
  <si>
    <t>MISRA C++</t>
  </si>
  <si>
    <t>Enforced</t>
  </si>
  <si>
    <t>Exception-Free RT</t>
  </si>
  <si>
    <t>Result&lt;T,E&gt;</t>
  </si>
  <si>
    <t>24-Hour Stability</t>
  </si>
  <si>
    <t>IEC 61508-4</t>
  </si>
  <si>
    <t>Not tested</t>
  </si>
  <si>
    <t>Test Coverage ≥90%</t>
  </si>
  <si>
    <t>Requirements Trace</t>
  </si>
  <si>
    <t>IEC 61508-1</t>
  </si>
  <si>
    <t>CHARM Arbitration</t>
  </si>
  <si>
    <t>OVERALL READINESS</t>
  </si>
  <si>
    <t>Total Requirements</t>
  </si>
  <si>
    <t>NOT READY</t>
  </si>
  <si>
    <t>Critical Items</t>
  </si>
  <si>
    <t>BLOCKING</t>
  </si>
  <si>
    <t>Estimated Completion</t>
  </si>
  <si>
    <t>MEMORY BUDGET - 226 MB APPROVED</t>
  </si>
  <si>
    <t>CRITICAL PATH ANALYSIS - IEC 61508 SIL 3 COMPLIANCE</t>
  </si>
  <si>
    <t>Target (μs)</t>
  </si>
  <si>
    <t>Focus</t>
  </si>
  <si>
    <t>GPU-based</t>
  </si>
  <si>
    <t>Need Design</t>
  </si>
  <si>
    <t>16 weeks</t>
  </si>
  <si>
    <t>malloc/free</t>
  </si>
  <si>
    <t>use mutex</t>
  </si>
  <si>
    <t>GUI Command Handler</t>
  </si>
  <si>
    <t>GUI Telemetry Publisher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</si>
</sst>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name val="Calibri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51CF66"/>
        <bgColor rgb="FF51CF66"/>
      </patternFill>
    </fill>
    <fill>
      <patternFill patternType="solid">
        <fgColor rgb="FF339AF0"/>
        <bgColor rgb="FF339AF0"/>
      </patternFill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5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2" borderId="0" xfId="0" applyFont="1" applyFill="1"/>
    <xf numFmtId="0" fontId="3" fillId="3" borderId="0" xfId="0" applyFont="1" applyFill="1"/>
    <xf numFmtId="0" fontId="4" fillId="0" borderId="0" xfId="0" applyFont="1"/>
    <xf numFmtId="0" fontId="0" fillId="3" borderId="0" xfId="0" applyFill="1"/>
    <xf numFmtId="164" fontId="4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5" fillId="4" borderId="0" xfId="0" applyFont="1" applyFill="1"/>
    <xf numFmtId="0" fontId="1" fillId="0" borderId="0" xfId="0" applyFont="1"/>
    <xf numFmtId="0" fontId="1" fillId="4" borderId="0" xfId="0" applyFont="1" applyFill="1"/>
    <xf numFmtId="0" fontId="5" fillId="5" borderId="0" xfId="0" applyFont="1" applyFill="1" applyAlignment="1">
      <alignment horizontal="center"/>
    </xf>
    <xf numFmtId="9" fontId="0" fillId="0" borderId="0" xfId="0" applyNumberFormat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activeCell="G9" sqref="G9"/>
    </sheetView>
  </sheetViews>
  <sheetFormatPr defaultRowHeight="14.4" x14ac:dyDescent="0.55000000000000004"/>
  <cols>
    <col min="1" max="1" width="21.41796875" bestFit="1" customWidth="1"/>
    <col min="2" max="2" width="14" customWidth="1"/>
    <col min="3" max="3" width="21" customWidth="1"/>
    <col min="4" max="4" width="23" customWidth="1"/>
    <col min="5" max="5" width="29" customWidth="1"/>
    <col min="6" max="6" width="14" customWidth="1"/>
    <col min="7" max="7" width="23" customWidth="1"/>
    <col min="8" max="8" width="10" customWidth="1"/>
    <col min="9" max="9" width="13" customWidth="1"/>
    <col min="10" max="10" width="29" customWidth="1"/>
  </cols>
  <sheetData>
    <row r="1" spans="1:10" ht="18.3" x14ac:dyDescent="0.7">
      <c r="A1" s="8" t="s">
        <v>365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55000000000000004">
      <c r="A3" s="1" t="s">
        <v>0</v>
      </c>
      <c r="B3" s="1" t="s">
        <v>366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10" x14ac:dyDescent="0.55000000000000004">
      <c r="A4" t="s">
        <v>6</v>
      </c>
      <c r="B4">
        <v>30</v>
      </c>
      <c r="C4" t="s">
        <v>7</v>
      </c>
      <c r="D4" t="s">
        <v>8</v>
      </c>
      <c r="E4" t="s">
        <v>9</v>
      </c>
      <c r="F4" s="3" t="s">
        <v>10</v>
      </c>
      <c r="G4" t="s">
        <v>371</v>
      </c>
    </row>
    <row r="5" spans="1:10" x14ac:dyDescent="0.55000000000000004">
      <c r="A5" t="s">
        <v>12</v>
      </c>
      <c r="B5">
        <v>40</v>
      </c>
      <c r="C5" t="s">
        <v>13</v>
      </c>
      <c r="D5" t="s">
        <v>8</v>
      </c>
      <c r="E5" t="s">
        <v>11</v>
      </c>
      <c r="F5" s="3" t="s">
        <v>10</v>
      </c>
    </row>
    <row r="6" spans="1:10" x14ac:dyDescent="0.55000000000000004">
      <c r="A6" t="s">
        <v>15</v>
      </c>
      <c r="B6">
        <v>40</v>
      </c>
      <c r="C6" t="s">
        <v>16</v>
      </c>
      <c r="D6" t="s">
        <v>8</v>
      </c>
      <c r="E6" t="s">
        <v>17</v>
      </c>
      <c r="F6" s="3" t="s">
        <v>10</v>
      </c>
    </row>
    <row r="7" spans="1:10" x14ac:dyDescent="0.55000000000000004">
      <c r="A7" t="s">
        <v>18</v>
      </c>
      <c r="B7">
        <v>0</v>
      </c>
      <c r="C7" t="s">
        <v>19</v>
      </c>
      <c r="D7" t="s">
        <v>8</v>
      </c>
      <c r="E7" t="s">
        <v>17</v>
      </c>
      <c r="F7" s="3" t="s">
        <v>10</v>
      </c>
    </row>
    <row r="8" spans="1:10" x14ac:dyDescent="0.55000000000000004">
      <c r="A8" t="s">
        <v>20</v>
      </c>
      <c r="B8">
        <v>5</v>
      </c>
      <c r="C8" t="s">
        <v>21</v>
      </c>
      <c r="D8" t="s">
        <v>8</v>
      </c>
      <c r="E8" t="s">
        <v>22</v>
      </c>
      <c r="F8" s="3" t="s">
        <v>10</v>
      </c>
      <c r="G8" t="s">
        <v>372</v>
      </c>
    </row>
    <row r="9" spans="1:10" x14ac:dyDescent="0.55000000000000004">
      <c r="A9" t="s">
        <v>23</v>
      </c>
      <c r="B9">
        <v>5</v>
      </c>
      <c r="C9" t="s">
        <v>13</v>
      </c>
      <c r="D9" t="s">
        <v>8</v>
      </c>
      <c r="E9" t="s">
        <v>11</v>
      </c>
      <c r="F9" s="3" t="s">
        <v>10</v>
      </c>
    </row>
    <row r="10" spans="1:10" x14ac:dyDescent="0.55000000000000004">
      <c r="A10" s="5" t="s">
        <v>24</v>
      </c>
      <c r="B10">
        <f>SUM(B4:B9)</f>
        <v>120</v>
      </c>
    </row>
    <row r="12" spans="1:10" ht="15.6" x14ac:dyDescent="0.6">
      <c r="A12" s="10" t="s">
        <v>25</v>
      </c>
      <c r="B12" s="9"/>
      <c r="C12" s="9"/>
      <c r="D12" s="9"/>
      <c r="E12" s="9"/>
      <c r="F12" s="9"/>
      <c r="G12" s="9"/>
      <c r="H12" s="9"/>
      <c r="I12" s="9"/>
    </row>
    <row r="13" spans="1:10" x14ac:dyDescent="0.55000000000000004">
      <c r="A13" t="s">
        <v>26</v>
      </c>
      <c r="B13" t="s">
        <v>27</v>
      </c>
      <c r="C13" t="s">
        <v>28</v>
      </c>
      <c r="D13" t="s">
        <v>29</v>
      </c>
    </row>
    <row r="14" spans="1:10" x14ac:dyDescent="0.55000000000000004">
      <c r="A14" t="s">
        <v>30</v>
      </c>
      <c r="B14" t="s">
        <v>31</v>
      </c>
      <c r="C14">
        <f>B10</f>
        <v>120</v>
      </c>
      <c r="D14" s="3" t="str">
        <f>IF(B10&lt;=180,"PASS","FAIL")</f>
        <v>PASS</v>
      </c>
    </row>
    <row r="15" spans="1:10" x14ac:dyDescent="0.55000000000000004">
      <c r="A15" t="s">
        <v>32</v>
      </c>
      <c r="B15" t="s">
        <v>33</v>
      </c>
      <c r="C15">
        <f>(250-B10)/250*100</f>
        <v>52</v>
      </c>
      <c r="D15" s="3" t="str">
        <f>IF(C14&gt;=28,"PASS","FAIL")</f>
        <v>PASS</v>
      </c>
    </row>
    <row r="16" spans="1:10" x14ac:dyDescent="0.55000000000000004">
      <c r="A16" t="s">
        <v>34</v>
      </c>
      <c r="B16" t="s">
        <v>35</v>
      </c>
      <c r="C16" t="s">
        <v>36</v>
      </c>
      <c r="D16" s="4" t="s">
        <v>37</v>
      </c>
    </row>
    <row r="17" spans="1:4" x14ac:dyDescent="0.55000000000000004">
      <c r="A17" t="s">
        <v>38</v>
      </c>
      <c r="B17" t="s">
        <v>39</v>
      </c>
      <c r="C17" t="s">
        <v>40</v>
      </c>
      <c r="D17" s="4" t="s">
        <v>37</v>
      </c>
    </row>
  </sheetData>
  <mergeCells count="2">
    <mergeCell ref="A1:J1"/>
    <mergeCell ref="A12:I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workbookViewId="0">
      <selection activeCell="A12" sqref="A12"/>
    </sheetView>
  </sheetViews>
  <sheetFormatPr defaultRowHeight="14.4" x14ac:dyDescent="0.55000000000000004"/>
  <cols>
    <col min="1" max="1" width="22.578125" bestFit="1" customWidth="1"/>
    <col min="2" max="2" width="17" customWidth="1"/>
    <col min="3" max="3" width="23" customWidth="1"/>
    <col min="4" max="4" width="20" customWidth="1"/>
    <col min="5" max="5" width="19" customWidth="1"/>
    <col min="6" max="6" width="22" customWidth="1"/>
    <col min="7" max="7" width="15.83984375" customWidth="1"/>
    <col min="8" max="8" width="15" customWidth="1"/>
    <col min="9" max="9" width="13" customWidth="1"/>
    <col min="10" max="10" width="18" customWidth="1"/>
    <col min="11" max="11" width="14" customWidth="1"/>
  </cols>
  <sheetData>
    <row r="1" spans="1:11" ht="18.3" x14ac:dyDescent="0.7">
      <c r="A1" s="8" t="s">
        <v>41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x14ac:dyDescent="0.55000000000000004">
      <c r="A3" s="1" t="s">
        <v>42</v>
      </c>
      <c r="B3" s="1" t="s">
        <v>3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51</v>
      </c>
    </row>
    <row r="4" spans="1:11" x14ac:dyDescent="0.55000000000000004">
      <c r="A4" t="s">
        <v>52</v>
      </c>
      <c r="B4">
        <v>1</v>
      </c>
      <c r="C4" t="s">
        <v>53</v>
      </c>
      <c r="D4" t="s">
        <v>54</v>
      </c>
      <c r="E4" t="s">
        <v>55</v>
      </c>
      <c r="F4" t="s">
        <v>56</v>
      </c>
      <c r="G4">
        <v>50</v>
      </c>
      <c r="H4">
        <v>45</v>
      </c>
      <c r="I4">
        <v>88</v>
      </c>
      <c r="J4">
        <v>950</v>
      </c>
      <c r="K4" s="6" t="s">
        <v>57</v>
      </c>
    </row>
    <row r="5" spans="1:11" x14ac:dyDescent="0.55000000000000004">
      <c r="A5" t="s">
        <v>58</v>
      </c>
      <c r="B5">
        <v>2</v>
      </c>
      <c r="C5" t="s">
        <v>59</v>
      </c>
      <c r="D5" t="s">
        <v>60</v>
      </c>
      <c r="E5" t="s">
        <v>61</v>
      </c>
      <c r="F5" t="s">
        <v>62</v>
      </c>
      <c r="G5">
        <v>100</v>
      </c>
      <c r="H5">
        <v>35</v>
      </c>
      <c r="I5">
        <v>60</v>
      </c>
      <c r="J5">
        <v>700</v>
      </c>
      <c r="K5" t="s">
        <v>63</v>
      </c>
    </row>
    <row r="6" spans="1:11" x14ac:dyDescent="0.55000000000000004">
      <c r="A6" t="s">
        <v>64</v>
      </c>
      <c r="B6">
        <v>3</v>
      </c>
      <c r="C6" t="s">
        <v>65</v>
      </c>
      <c r="D6" t="s">
        <v>66</v>
      </c>
      <c r="E6" t="s">
        <v>67</v>
      </c>
      <c r="F6" t="s">
        <v>68</v>
      </c>
      <c r="G6">
        <v>150</v>
      </c>
      <c r="H6">
        <v>40</v>
      </c>
      <c r="I6">
        <v>74</v>
      </c>
      <c r="J6">
        <v>825</v>
      </c>
      <c r="K6" t="s">
        <v>69</v>
      </c>
    </row>
    <row r="7" spans="1:11" x14ac:dyDescent="0.55000000000000004">
      <c r="A7" t="s">
        <v>70</v>
      </c>
      <c r="B7">
        <v>4</v>
      </c>
      <c r="C7" t="s">
        <v>71</v>
      </c>
      <c r="D7" t="s">
        <v>72</v>
      </c>
      <c r="E7" t="s">
        <v>73</v>
      </c>
      <c r="F7" t="s">
        <v>74</v>
      </c>
      <c r="G7">
        <v>200</v>
      </c>
      <c r="H7">
        <v>20</v>
      </c>
      <c r="I7">
        <v>45</v>
      </c>
      <c r="J7">
        <v>450</v>
      </c>
      <c r="K7" t="s">
        <v>75</v>
      </c>
    </row>
    <row r="8" spans="1:11" x14ac:dyDescent="0.55000000000000004">
      <c r="A8" t="s">
        <v>76</v>
      </c>
      <c r="B8">
        <v>5</v>
      </c>
      <c r="C8" t="s">
        <v>77</v>
      </c>
      <c r="D8" t="s">
        <v>72</v>
      </c>
      <c r="E8" t="s">
        <v>78</v>
      </c>
      <c r="F8" t="s">
        <v>79</v>
      </c>
      <c r="G8">
        <v>500</v>
      </c>
      <c r="H8">
        <v>10</v>
      </c>
      <c r="I8">
        <v>20</v>
      </c>
      <c r="J8">
        <v>100</v>
      </c>
      <c r="K8" s="3" t="s">
        <v>80</v>
      </c>
    </row>
    <row r="10" spans="1:11" x14ac:dyDescent="0.55000000000000004">
      <c r="A10" t="s">
        <v>81</v>
      </c>
    </row>
    <row r="11" spans="1:11" x14ac:dyDescent="0.55000000000000004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</row>
    <row r="12" spans="1:11" x14ac:dyDescent="0.55000000000000004">
      <c r="A12" t="s">
        <v>52</v>
      </c>
      <c r="B12" t="s">
        <v>58</v>
      </c>
      <c r="C12" t="s">
        <v>88</v>
      </c>
      <c r="D12">
        <v>20</v>
      </c>
      <c r="E12">
        <v>0</v>
      </c>
      <c r="F12" t="s">
        <v>89</v>
      </c>
    </row>
    <row r="13" spans="1:11" x14ac:dyDescent="0.55000000000000004">
      <c r="A13" t="s">
        <v>52</v>
      </c>
      <c r="B13" t="s">
        <v>64</v>
      </c>
      <c r="C13" t="s">
        <v>90</v>
      </c>
      <c r="D13">
        <v>30</v>
      </c>
      <c r="E13">
        <v>0</v>
      </c>
      <c r="F13" t="s">
        <v>91</v>
      </c>
    </row>
    <row r="14" spans="1:11" x14ac:dyDescent="0.55000000000000004">
      <c r="A14" t="s">
        <v>58</v>
      </c>
      <c r="B14" t="s">
        <v>70</v>
      </c>
      <c r="C14" t="s">
        <v>92</v>
      </c>
      <c r="D14">
        <v>100</v>
      </c>
      <c r="E14">
        <v>5</v>
      </c>
      <c r="F14" t="s">
        <v>93</v>
      </c>
    </row>
    <row r="15" spans="1:11" x14ac:dyDescent="0.55000000000000004">
      <c r="A15" t="s">
        <v>94</v>
      </c>
      <c r="B15" t="s">
        <v>76</v>
      </c>
      <c r="C15" t="s">
        <v>95</v>
      </c>
      <c r="D15">
        <v>10</v>
      </c>
      <c r="E15">
        <v>0</v>
      </c>
      <c r="F15" t="s">
        <v>96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004F-9FD6-49A6-A301-8D76DFC0BCF7}">
  <dimension ref="A1:P35"/>
  <sheetViews>
    <sheetView workbookViewId="0">
      <selection activeCell="S20" sqref="S20"/>
    </sheetView>
  </sheetViews>
  <sheetFormatPr defaultRowHeight="14.4" x14ac:dyDescent="0.55000000000000004"/>
  <cols>
    <col min="1" max="1" width="21" customWidth="1"/>
    <col min="2" max="2" width="18" customWidth="1"/>
    <col min="3" max="3" width="21" customWidth="1"/>
    <col min="4" max="4" width="17" customWidth="1"/>
    <col min="5" max="7" width="18" customWidth="1"/>
    <col min="8" max="8" width="14" customWidth="1"/>
    <col min="9" max="9" width="15" customWidth="1"/>
    <col min="10" max="10" width="16" customWidth="1"/>
    <col min="11" max="12" width="15" customWidth="1"/>
    <col min="13" max="13" width="17" customWidth="1"/>
    <col min="14" max="14" width="10" customWidth="1"/>
    <col min="15" max="15" width="21" customWidth="1"/>
    <col min="16" max="16" width="18" customWidth="1"/>
  </cols>
  <sheetData>
    <row r="1" spans="1:16" x14ac:dyDescent="0.55000000000000004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29</v>
      </c>
    </row>
    <row r="2" spans="1:16" x14ac:dyDescent="0.55000000000000004">
      <c r="A2" t="s">
        <v>112</v>
      </c>
      <c r="B2" s="16">
        <v>800</v>
      </c>
      <c r="C2" s="16">
        <v>52</v>
      </c>
      <c r="D2">
        <f t="shared" ref="D2:D17" si="0">B2*C2</f>
        <v>41600</v>
      </c>
      <c r="E2">
        <f t="shared" ref="E2:E17" si="1">D2/1000000</f>
        <v>4.1599999999999998E-2</v>
      </c>
      <c r="F2">
        <f t="shared" ref="F2:F17" si="2">D2*8/1000000</f>
        <v>0.33279999999999998</v>
      </c>
      <c r="G2">
        <f t="shared" ref="G2:G17" si="3">E2*2</f>
        <v>8.3199999999999996E-2</v>
      </c>
      <c r="H2" t="s">
        <v>14</v>
      </c>
      <c r="I2" t="s">
        <v>14</v>
      </c>
      <c r="J2">
        <f t="shared" ref="J2:J17" si="4">G2/25600*100</f>
        <v>3.2499999999999999E-4</v>
      </c>
      <c r="K2" t="s">
        <v>113</v>
      </c>
      <c r="L2" t="s">
        <v>114</v>
      </c>
      <c r="M2" s="16">
        <v>75</v>
      </c>
      <c r="N2">
        <v>2</v>
      </c>
      <c r="O2">
        <v>30</v>
      </c>
    </row>
    <row r="3" spans="1:16" x14ac:dyDescent="0.55000000000000004">
      <c r="A3" t="s">
        <v>115</v>
      </c>
      <c r="B3" s="16">
        <v>400</v>
      </c>
      <c r="C3" s="16">
        <v>92</v>
      </c>
      <c r="D3">
        <f t="shared" si="0"/>
        <v>36800</v>
      </c>
      <c r="E3">
        <f t="shared" si="1"/>
        <v>3.6799999999999999E-2</v>
      </c>
      <c r="F3">
        <f t="shared" si="2"/>
        <v>0.2944</v>
      </c>
      <c r="G3">
        <f t="shared" si="3"/>
        <v>7.3599999999999999E-2</v>
      </c>
      <c r="H3" t="s">
        <v>14</v>
      </c>
      <c r="I3" t="s">
        <v>14</v>
      </c>
      <c r="J3">
        <f t="shared" si="4"/>
        <v>2.875E-4</v>
      </c>
      <c r="K3" t="s">
        <v>113</v>
      </c>
      <c r="L3" t="s">
        <v>114</v>
      </c>
      <c r="M3" s="16">
        <v>75</v>
      </c>
      <c r="N3">
        <v>2</v>
      </c>
      <c r="O3">
        <v>30</v>
      </c>
    </row>
    <row r="4" spans="1:16" x14ac:dyDescent="0.55000000000000004">
      <c r="A4" t="s">
        <v>116</v>
      </c>
      <c r="B4" s="16">
        <v>500</v>
      </c>
      <c r="C4" s="16">
        <v>64</v>
      </c>
      <c r="D4">
        <f t="shared" si="0"/>
        <v>32000</v>
      </c>
      <c r="E4">
        <f t="shared" si="1"/>
        <v>3.2000000000000001E-2</v>
      </c>
      <c r="F4">
        <f t="shared" si="2"/>
        <v>0.25600000000000001</v>
      </c>
      <c r="G4">
        <f t="shared" si="3"/>
        <v>6.4000000000000001E-2</v>
      </c>
      <c r="H4" t="s">
        <v>14</v>
      </c>
      <c r="I4" t="s">
        <v>14</v>
      </c>
      <c r="J4">
        <f t="shared" si="4"/>
        <v>2.5000000000000001E-4</v>
      </c>
      <c r="K4" t="s">
        <v>117</v>
      </c>
      <c r="L4" t="s">
        <v>118</v>
      </c>
      <c r="M4" s="16">
        <v>80</v>
      </c>
      <c r="N4">
        <v>2</v>
      </c>
      <c r="O4">
        <v>100</v>
      </c>
    </row>
    <row r="5" spans="1:16" x14ac:dyDescent="0.55000000000000004">
      <c r="A5" t="s">
        <v>119</v>
      </c>
      <c r="B5" s="16">
        <v>500</v>
      </c>
      <c r="C5" s="16">
        <v>64</v>
      </c>
      <c r="D5">
        <f t="shared" si="0"/>
        <v>32000</v>
      </c>
      <c r="E5">
        <f t="shared" si="1"/>
        <v>3.2000000000000001E-2</v>
      </c>
      <c r="F5">
        <f t="shared" si="2"/>
        <v>0.25600000000000001</v>
      </c>
      <c r="G5">
        <f t="shared" si="3"/>
        <v>6.4000000000000001E-2</v>
      </c>
      <c r="H5" t="s">
        <v>14</v>
      </c>
      <c r="I5" t="s">
        <v>14</v>
      </c>
      <c r="J5">
        <f t="shared" si="4"/>
        <v>2.5000000000000001E-4</v>
      </c>
      <c r="K5" t="s">
        <v>117</v>
      </c>
      <c r="L5" t="s">
        <v>120</v>
      </c>
      <c r="M5" s="16">
        <v>80</v>
      </c>
      <c r="N5">
        <v>2</v>
      </c>
      <c r="O5">
        <v>100</v>
      </c>
    </row>
    <row r="6" spans="1:16" x14ac:dyDescent="0.55000000000000004">
      <c r="A6" t="s">
        <v>121</v>
      </c>
      <c r="B6" s="16">
        <v>200</v>
      </c>
      <c r="C6" s="16">
        <v>40</v>
      </c>
      <c r="D6">
        <f t="shared" si="0"/>
        <v>8000</v>
      </c>
      <c r="E6">
        <f t="shared" si="1"/>
        <v>8.0000000000000002E-3</v>
      </c>
      <c r="F6">
        <f t="shared" si="2"/>
        <v>6.4000000000000001E-2</v>
      </c>
      <c r="G6">
        <f t="shared" si="3"/>
        <v>1.6E-2</v>
      </c>
      <c r="H6" t="s">
        <v>14</v>
      </c>
      <c r="I6" t="s">
        <v>14</v>
      </c>
      <c r="J6">
        <f t="shared" si="4"/>
        <v>6.2500000000000001E-5</v>
      </c>
      <c r="K6" t="s">
        <v>117</v>
      </c>
      <c r="L6" t="s">
        <v>122</v>
      </c>
      <c r="M6" s="16">
        <v>70</v>
      </c>
      <c r="N6">
        <v>3</v>
      </c>
      <c r="O6">
        <v>200</v>
      </c>
    </row>
    <row r="7" spans="1:16" x14ac:dyDescent="0.55000000000000004">
      <c r="A7" t="s">
        <v>123</v>
      </c>
      <c r="B7" s="16">
        <v>150</v>
      </c>
      <c r="C7" s="16">
        <v>128</v>
      </c>
      <c r="D7">
        <f t="shared" si="0"/>
        <v>19200</v>
      </c>
      <c r="E7">
        <f t="shared" si="1"/>
        <v>1.9199999999999998E-2</v>
      </c>
      <c r="F7">
        <f t="shared" si="2"/>
        <v>0.15359999999999999</v>
      </c>
      <c r="G7">
        <f t="shared" si="3"/>
        <v>3.8399999999999997E-2</v>
      </c>
      <c r="H7">
        <f t="shared" ref="H7:H14" si="5">F7/940*100</f>
        <v>1.6340425531914893E-2</v>
      </c>
      <c r="I7">
        <f t="shared" ref="I7:I14" si="6">F7/9400*100</f>
        <v>1.6340425531914894E-3</v>
      </c>
      <c r="J7">
        <f t="shared" si="4"/>
        <v>1.4999999999999999E-4</v>
      </c>
      <c r="K7" t="s">
        <v>124</v>
      </c>
      <c r="L7" t="s">
        <v>125</v>
      </c>
      <c r="M7" s="16">
        <v>65</v>
      </c>
      <c r="N7">
        <v>3</v>
      </c>
      <c r="O7">
        <v>50</v>
      </c>
    </row>
    <row r="8" spans="1:16" x14ac:dyDescent="0.55000000000000004">
      <c r="A8" t="s">
        <v>126</v>
      </c>
      <c r="B8" s="16">
        <v>2.63</v>
      </c>
      <c r="C8" s="16">
        <v>456</v>
      </c>
      <c r="D8">
        <f t="shared" si="0"/>
        <v>1199.28</v>
      </c>
      <c r="E8">
        <f t="shared" si="1"/>
        <v>1.1992800000000001E-3</v>
      </c>
      <c r="F8">
        <f t="shared" si="2"/>
        <v>9.5942400000000004E-3</v>
      </c>
      <c r="G8">
        <f t="shared" si="3"/>
        <v>2.3985600000000001E-3</v>
      </c>
      <c r="H8">
        <f t="shared" si="5"/>
        <v>1.0206638297872341E-3</v>
      </c>
      <c r="I8">
        <f t="shared" si="6"/>
        <v>1.0206638297872341E-4</v>
      </c>
      <c r="J8">
        <f t="shared" si="4"/>
        <v>9.3693750000000004E-6</v>
      </c>
      <c r="K8" t="s">
        <v>124</v>
      </c>
      <c r="L8" t="s">
        <v>127</v>
      </c>
      <c r="M8" s="16">
        <v>50</v>
      </c>
      <c r="N8">
        <v>3</v>
      </c>
      <c r="O8">
        <v>50</v>
      </c>
    </row>
    <row r="9" spans="1:16" x14ac:dyDescent="0.55000000000000004">
      <c r="A9" t="s">
        <v>128</v>
      </c>
      <c r="B9" s="16">
        <v>100</v>
      </c>
      <c r="C9" s="16">
        <v>16000</v>
      </c>
      <c r="D9">
        <f t="shared" si="0"/>
        <v>1600000</v>
      </c>
      <c r="E9">
        <f t="shared" si="1"/>
        <v>1.6</v>
      </c>
      <c r="F9">
        <f t="shared" si="2"/>
        <v>12.8</v>
      </c>
      <c r="G9">
        <f t="shared" si="3"/>
        <v>3.2</v>
      </c>
      <c r="H9">
        <f t="shared" si="5"/>
        <v>1.3617021276595747</v>
      </c>
      <c r="I9">
        <f t="shared" si="6"/>
        <v>0.13617021276595745</v>
      </c>
      <c r="J9">
        <f t="shared" si="4"/>
        <v>1.2500000000000001E-2</v>
      </c>
      <c r="K9" t="s">
        <v>124</v>
      </c>
      <c r="L9" t="s">
        <v>129</v>
      </c>
      <c r="M9" s="16">
        <v>72</v>
      </c>
      <c r="N9">
        <v>3</v>
      </c>
      <c r="O9">
        <v>10000</v>
      </c>
    </row>
    <row r="10" spans="1:16" x14ac:dyDescent="0.55000000000000004">
      <c r="A10" t="s">
        <v>130</v>
      </c>
      <c r="B10" s="16">
        <v>20</v>
      </c>
      <c r="C10" s="16">
        <v>210000</v>
      </c>
      <c r="D10">
        <f t="shared" si="0"/>
        <v>4200000</v>
      </c>
      <c r="E10">
        <f t="shared" si="1"/>
        <v>4.2</v>
      </c>
      <c r="F10">
        <f t="shared" si="2"/>
        <v>33.6</v>
      </c>
      <c r="G10">
        <f t="shared" si="3"/>
        <v>8.4</v>
      </c>
      <c r="H10">
        <f t="shared" si="5"/>
        <v>3.5744680851063833</v>
      </c>
      <c r="I10">
        <f t="shared" si="6"/>
        <v>0.35744680851063831</v>
      </c>
      <c r="J10">
        <f t="shared" si="4"/>
        <v>3.2812500000000001E-2</v>
      </c>
      <c r="K10" t="s">
        <v>124</v>
      </c>
      <c r="L10" t="s">
        <v>131</v>
      </c>
      <c r="M10" s="16">
        <v>68</v>
      </c>
      <c r="N10">
        <v>5</v>
      </c>
      <c r="O10">
        <v>1000</v>
      </c>
    </row>
    <row r="11" spans="1:16" x14ac:dyDescent="0.55000000000000004">
      <c r="A11" t="s">
        <v>132</v>
      </c>
      <c r="B11" s="16">
        <v>20</v>
      </c>
      <c r="C11" s="16">
        <v>423000</v>
      </c>
      <c r="D11">
        <f t="shared" si="0"/>
        <v>8460000</v>
      </c>
      <c r="E11">
        <f t="shared" si="1"/>
        <v>8.4600000000000009</v>
      </c>
      <c r="F11">
        <f t="shared" si="2"/>
        <v>67.680000000000007</v>
      </c>
      <c r="G11">
        <f t="shared" si="3"/>
        <v>16.920000000000002</v>
      </c>
      <c r="H11">
        <f t="shared" si="5"/>
        <v>7.2000000000000011</v>
      </c>
      <c r="I11">
        <f t="shared" si="6"/>
        <v>0.72000000000000008</v>
      </c>
      <c r="J11">
        <f t="shared" si="4"/>
        <v>6.6093750000000007E-2</v>
      </c>
      <c r="K11" t="s">
        <v>124</v>
      </c>
      <c r="L11" t="s">
        <v>133</v>
      </c>
      <c r="M11" s="16">
        <v>68</v>
      </c>
      <c r="N11">
        <v>5</v>
      </c>
      <c r="O11">
        <v>1000</v>
      </c>
    </row>
    <row r="12" spans="1:16" x14ac:dyDescent="0.55000000000000004">
      <c r="A12" t="s">
        <v>134</v>
      </c>
      <c r="B12" s="16">
        <v>20</v>
      </c>
      <c r="C12" s="16">
        <v>352</v>
      </c>
      <c r="D12">
        <f t="shared" si="0"/>
        <v>7040</v>
      </c>
      <c r="E12">
        <f t="shared" si="1"/>
        <v>7.0400000000000003E-3</v>
      </c>
      <c r="F12">
        <f t="shared" si="2"/>
        <v>5.6320000000000002E-2</v>
      </c>
      <c r="G12">
        <f t="shared" si="3"/>
        <v>1.4080000000000001E-2</v>
      </c>
      <c r="H12">
        <f t="shared" si="5"/>
        <v>5.9914893617021275E-3</v>
      </c>
      <c r="I12">
        <f t="shared" si="6"/>
        <v>5.9914893617021273E-4</v>
      </c>
      <c r="J12">
        <f t="shared" si="4"/>
        <v>5.5000000000000002E-5</v>
      </c>
      <c r="K12" t="s">
        <v>124</v>
      </c>
      <c r="L12" t="s">
        <v>135</v>
      </c>
      <c r="M12" s="16">
        <v>62</v>
      </c>
      <c r="N12">
        <v>6</v>
      </c>
      <c r="O12">
        <v>2000</v>
      </c>
    </row>
    <row r="13" spans="1:16" x14ac:dyDescent="0.55000000000000004">
      <c r="A13" t="s">
        <v>136</v>
      </c>
      <c r="B13" s="16">
        <v>200</v>
      </c>
      <c r="C13" s="16">
        <v>256</v>
      </c>
      <c r="D13">
        <f t="shared" si="0"/>
        <v>51200</v>
      </c>
      <c r="E13">
        <f t="shared" si="1"/>
        <v>5.1200000000000002E-2</v>
      </c>
      <c r="F13">
        <f t="shared" si="2"/>
        <v>0.40960000000000002</v>
      </c>
      <c r="G13">
        <f t="shared" si="3"/>
        <v>0.1024</v>
      </c>
      <c r="H13">
        <f t="shared" si="5"/>
        <v>4.3574468085106385E-2</v>
      </c>
      <c r="I13">
        <f t="shared" si="6"/>
        <v>4.3574468085106387E-3</v>
      </c>
      <c r="J13">
        <f t="shared" si="4"/>
        <v>3.9999999999999996E-4</v>
      </c>
      <c r="K13" t="s">
        <v>137</v>
      </c>
      <c r="L13" t="s">
        <v>14</v>
      </c>
      <c r="M13" s="16">
        <v>55</v>
      </c>
      <c r="N13">
        <v>4</v>
      </c>
      <c r="O13">
        <v>1000</v>
      </c>
    </row>
    <row r="14" spans="1:16" x14ac:dyDescent="0.55000000000000004">
      <c r="A14" t="s">
        <v>138</v>
      </c>
      <c r="B14" s="16">
        <v>200</v>
      </c>
      <c r="C14" s="16">
        <v>256</v>
      </c>
      <c r="D14">
        <f t="shared" si="0"/>
        <v>51200</v>
      </c>
      <c r="E14">
        <f t="shared" si="1"/>
        <v>5.1200000000000002E-2</v>
      </c>
      <c r="F14">
        <f t="shared" si="2"/>
        <v>0.40960000000000002</v>
      </c>
      <c r="G14">
        <f t="shared" si="3"/>
        <v>0.1024</v>
      </c>
      <c r="H14">
        <f t="shared" si="5"/>
        <v>4.3574468085106385E-2</v>
      </c>
      <c r="I14">
        <f t="shared" si="6"/>
        <v>4.3574468085106387E-3</v>
      </c>
      <c r="J14">
        <f t="shared" si="4"/>
        <v>3.9999999999999996E-4</v>
      </c>
      <c r="K14" t="s">
        <v>137</v>
      </c>
      <c r="L14" t="s">
        <v>14</v>
      </c>
      <c r="M14" s="16">
        <v>55</v>
      </c>
      <c r="N14">
        <v>4</v>
      </c>
      <c r="O14">
        <v>1000</v>
      </c>
    </row>
    <row r="15" spans="1:16" x14ac:dyDescent="0.55000000000000004">
      <c r="A15" t="s">
        <v>139</v>
      </c>
      <c r="B15" s="16">
        <v>0.1</v>
      </c>
      <c r="C15" s="16">
        <v>40</v>
      </c>
      <c r="D15">
        <f t="shared" si="0"/>
        <v>4</v>
      </c>
      <c r="E15">
        <f t="shared" si="1"/>
        <v>3.9999999999999998E-6</v>
      </c>
      <c r="F15">
        <f t="shared" si="2"/>
        <v>3.1999999999999999E-5</v>
      </c>
      <c r="G15">
        <f t="shared" si="3"/>
        <v>7.9999999999999996E-6</v>
      </c>
      <c r="H15" t="s">
        <v>14</v>
      </c>
      <c r="I15" t="s">
        <v>14</v>
      </c>
      <c r="J15">
        <f t="shared" si="4"/>
        <v>3.1249999999999999E-8</v>
      </c>
      <c r="K15" t="s">
        <v>140</v>
      </c>
      <c r="L15" t="s">
        <v>14</v>
      </c>
      <c r="M15" s="16">
        <v>60</v>
      </c>
      <c r="N15">
        <v>5</v>
      </c>
      <c r="O15">
        <v>200000</v>
      </c>
    </row>
    <row r="16" spans="1:16" x14ac:dyDescent="0.55000000000000004">
      <c r="A16" t="s">
        <v>141</v>
      </c>
      <c r="B16" s="16">
        <v>1000</v>
      </c>
      <c r="C16" s="16">
        <v>128</v>
      </c>
      <c r="D16">
        <f t="shared" si="0"/>
        <v>128000</v>
      </c>
      <c r="E16">
        <f t="shared" si="1"/>
        <v>0.128</v>
      </c>
      <c r="F16">
        <f t="shared" si="2"/>
        <v>1.024</v>
      </c>
      <c r="G16">
        <f t="shared" si="3"/>
        <v>0.25600000000000001</v>
      </c>
      <c r="H16" t="s">
        <v>14</v>
      </c>
      <c r="I16" t="s">
        <v>14</v>
      </c>
      <c r="J16">
        <f t="shared" si="4"/>
        <v>1E-3</v>
      </c>
      <c r="K16" t="s">
        <v>140</v>
      </c>
      <c r="L16" t="s">
        <v>14</v>
      </c>
      <c r="M16" s="16">
        <v>92</v>
      </c>
      <c r="N16">
        <v>5</v>
      </c>
      <c r="O16">
        <v>10</v>
      </c>
    </row>
    <row r="17" spans="1:16" x14ac:dyDescent="0.55000000000000004">
      <c r="A17" t="s">
        <v>142</v>
      </c>
      <c r="B17" s="16">
        <v>1000</v>
      </c>
      <c r="C17" s="16">
        <v>80</v>
      </c>
      <c r="D17">
        <f t="shared" si="0"/>
        <v>80000</v>
      </c>
      <c r="E17">
        <f t="shared" si="1"/>
        <v>0.08</v>
      </c>
      <c r="F17">
        <f t="shared" si="2"/>
        <v>0.64</v>
      </c>
      <c r="G17">
        <f t="shared" si="3"/>
        <v>0.16</v>
      </c>
      <c r="H17" t="s">
        <v>14</v>
      </c>
      <c r="I17" t="s">
        <v>14</v>
      </c>
      <c r="J17">
        <f t="shared" si="4"/>
        <v>6.2500000000000001E-4</v>
      </c>
      <c r="K17" t="s">
        <v>140</v>
      </c>
      <c r="L17" t="s">
        <v>14</v>
      </c>
      <c r="M17" s="16">
        <v>98</v>
      </c>
      <c r="N17">
        <v>6</v>
      </c>
      <c r="O17">
        <v>500</v>
      </c>
    </row>
    <row r="19" spans="1:16" x14ac:dyDescent="0.55000000000000004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1:16" x14ac:dyDescent="0.55000000000000004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1" spans="1:16" x14ac:dyDescent="0.55000000000000004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</row>
    <row r="22" spans="1:16" x14ac:dyDescent="0.55000000000000004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spans="1:16" x14ac:dyDescent="0.55000000000000004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</row>
    <row r="24" spans="1:16" x14ac:dyDescent="0.5500000000000000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spans="1:16" x14ac:dyDescent="0.55000000000000004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spans="1:16" x14ac:dyDescent="0.55000000000000004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  <row r="27" spans="1:16" x14ac:dyDescent="0.55000000000000004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 spans="1:16" x14ac:dyDescent="0.55000000000000004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spans="1:16" x14ac:dyDescent="0.55000000000000004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</row>
    <row r="30" spans="1:16" x14ac:dyDescent="0.55000000000000004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spans="1:16" x14ac:dyDescent="0.55000000000000004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 spans="1:16" x14ac:dyDescent="0.55000000000000004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spans="1:16" x14ac:dyDescent="0.55000000000000004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</row>
    <row r="34" spans="1:16" x14ac:dyDescent="0.5500000000000000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</row>
    <row r="35" spans="1:16" x14ac:dyDescent="0.55000000000000004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activeCell="J4" sqref="J4:J6"/>
    </sheetView>
  </sheetViews>
  <sheetFormatPr defaultRowHeight="14.4" x14ac:dyDescent="0.55000000000000004"/>
  <cols>
    <col min="1" max="1" width="50" customWidth="1"/>
    <col min="2" max="2" width="17" customWidth="1"/>
    <col min="3" max="3" width="21" customWidth="1"/>
    <col min="4" max="4" width="18" customWidth="1"/>
    <col min="5" max="5" width="23" customWidth="1"/>
    <col min="6" max="6" width="10" customWidth="1"/>
    <col min="7" max="7" width="13" customWidth="1"/>
    <col min="8" max="8" width="14" customWidth="1"/>
    <col min="9" max="9" width="18" customWidth="1"/>
    <col min="10" max="10" width="13" customWidth="1"/>
  </cols>
  <sheetData>
    <row r="1" spans="1:10" ht="18.3" x14ac:dyDescent="0.7">
      <c r="A1" s="11" t="s">
        <v>143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55000000000000004">
      <c r="A3" s="1" t="s">
        <v>144</v>
      </c>
      <c r="B3" s="1" t="s">
        <v>145</v>
      </c>
      <c r="C3" s="1" t="s">
        <v>146</v>
      </c>
      <c r="D3" s="1" t="s">
        <v>98</v>
      </c>
      <c r="E3" s="1" t="s">
        <v>147</v>
      </c>
      <c r="F3" s="1" t="s">
        <v>110</v>
      </c>
      <c r="G3" s="1" t="s">
        <v>49</v>
      </c>
      <c r="H3" s="1" t="s">
        <v>148</v>
      </c>
      <c r="I3" s="1" t="s">
        <v>149</v>
      </c>
      <c r="J3" s="1" t="s">
        <v>29</v>
      </c>
    </row>
    <row r="4" spans="1:10" x14ac:dyDescent="0.55000000000000004">
      <c r="A4" t="s">
        <v>150</v>
      </c>
      <c r="B4" t="s">
        <v>151</v>
      </c>
      <c r="C4">
        <v>13</v>
      </c>
      <c r="D4">
        <v>1000</v>
      </c>
      <c r="E4" t="s">
        <v>152</v>
      </c>
      <c r="F4">
        <v>3</v>
      </c>
      <c r="G4">
        <v>12</v>
      </c>
      <c r="H4">
        <v>150</v>
      </c>
      <c r="I4" t="s">
        <v>153</v>
      </c>
    </row>
    <row r="5" spans="1:10" x14ac:dyDescent="0.55000000000000004">
      <c r="A5" t="s">
        <v>154</v>
      </c>
      <c r="B5" t="s">
        <v>155</v>
      </c>
      <c r="C5">
        <v>9</v>
      </c>
      <c r="D5">
        <v>1000</v>
      </c>
      <c r="E5" t="s">
        <v>156</v>
      </c>
      <c r="F5">
        <v>3</v>
      </c>
      <c r="G5">
        <v>8</v>
      </c>
      <c r="H5">
        <v>80</v>
      </c>
      <c r="I5" t="s">
        <v>153</v>
      </c>
    </row>
    <row r="6" spans="1:10" x14ac:dyDescent="0.55000000000000004">
      <c r="A6" t="s">
        <v>157</v>
      </c>
      <c r="B6" t="s">
        <v>158</v>
      </c>
      <c r="C6" t="s">
        <v>14</v>
      </c>
      <c r="D6">
        <v>100</v>
      </c>
      <c r="E6" t="s">
        <v>159</v>
      </c>
      <c r="F6">
        <v>3</v>
      </c>
      <c r="G6">
        <v>2</v>
      </c>
      <c r="H6">
        <v>10</v>
      </c>
      <c r="I6" t="s">
        <v>160</v>
      </c>
    </row>
    <row r="8" spans="1:10" x14ac:dyDescent="0.55000000000000004">
      <c r="A8" t="s">
        <v>161</v>
      </c>
    </row>
    <row r="9" spans="1:10" x14ac:dyDescent="0.55000000000000004">
      <c r="A9" t="s">
        <v>162</v>
      </c>
      <c r="B9" t="s">
        <v>163</v>
      </c>
      <c r="C9" t="s">
        <v>164</v>
      </c>
      <c r="D9" t="s">
        <v>165</v>
      </c>
      <c r="E9" t="s">
        <v>166</v>
      </c>
    </row>
    <row r="10" spans="1:10" x14ac:dyDescent="0.55000000000000004">
      <c r="A10" t="s">
        <v>167</v>
      </c>
      <c r="B10" t="s">
        <v>168</v>
      </c>
      <c r="C10">
        <v>10</v>
      </c>
      <c r="D10" t="s">
        <v>169</v>
      </c>
      <c r="E10" t="s">
        <v>170</v>
      </c>
    </row>
    <row r="11" spans="1:10" x14ac:dyDescent="0.55000000000000004">
      <c r="A11" t="s">
        <v>171</v>
      </c>
      <c r="B11" t="s">
        <v>172</v>
      </c>
      <c r="C11">
        <v>10</v>
      </c>
      <c r="D11" t="s">
        <v>173</v>
      </c>
      <c r="E11" t="s">
        <v>174</v>
      </c>
    </row>
    <row r="12" spans="1:10" x14ac:dyDescent="0.55000000000000004">
      <c r="A12" t="s">
        <v>175</v>
      </c>
      <c r="B12" t="s">
        <v>176</v>
      </c>
      <c r="C12">
        <v>1</v>
      </c>
      <c r="D12" t="s">
        <v>177</v>
      </c>
      <c r="E12" t="s">
        <v>178</v>
      </c>
    </row>
    <row r="13" spans="1:10" x14ac:dyDescent="0.55000000000000004">
      <c r="A13" t="s">
        <v>179</v>
      </c>
      <c r="B13" t="s">
        <v>94</v>
      </c>
      <c r="C13">
        <v>0.1</v>
      </c>
      <c r="D13" t="s">
        <v>180</v>
      </c>
      <c r="E13" t="s">
        <v>181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workbookViewId="0">
      <selection activeCell="A12" sqref="A12:XFD12"/>
    </sheetView>
  </sheetViews>
  <sheetFormatPr defaultRowHeight="14.4" x14ac:dyDescent="0.55000000000000004"/>
  <cols>
    <col min="1" max="1" width="41" customWidth="1"/>
    <col min="2" max="2" width="14.05078125" customWidth="1"/>
    <col min="3" max="3" width="17" customWidth="1"/>
    <col min="4" max="4" width="14" customWidth="1"/>
    <col min="5" max="5" width="11" customWidth="1"/>
    <col min="6" max="6" width="17" customWidth="1"/>
    <col min="7" max="7" width="19" customWidth="1"/>
    <col min="8" max="8" width="11" customWidth="1"/>
  </cols>
  <sheetData>
    <row r="1" spans="1:8" ht="18.3" x14ac:dyDescent="0.7">
      <c r="A1" s="11" t="s">
        <v>364</v>
      </c>
      <c r="B1" s="9"/>
      <c r="C1" s="9"/>
      <c r="D1" s="9"/>
      <c r="E1" s="9"/>
      <c r="F1" s="9"/>
      <c r="G1" s="9"/>
      <c r="H1" s="9"/>
    </row>
    <row r="3" spans="1:8" ht="43.2" x14ac:dyDescent="0.55000000000000004">
      <c r="A3" s="1" t="s">
        <v>0</v>
      </c>
      <c r="B3" s="1" t="s">
        <v>182</v>
      </c>
      <c r="C3" s="1" t="s">
        <v>183</v>
      </c>
      <c r="D3" s="1" t="s">
        <v>184</v>
      </c>
      <c r="E3" s="1" t="s">
        <v>185</v>
      </c>
      <c r="F3" s="1" t="s">
        <v>186</v>
      </c>
      <c r="G3" s="1" t="s">
        <v>29</v>
      </c>
    </row>
    <row r="4" spans="1:8" x14ac:dyDescent="0.55000000000000004">
      <c r="A4" t="s">
        <v>187</v>
      </c>
      <c r="B4">
        <v>45</v>
      </c>
      <c r="E4" s="2"/>
    </row>
    <row r="5" spans="1:8" x14ac:dyDescent="0.55000000000000004">
      <c r="A5" t="s">
        <v>188</v>
      </c>
      <c r="B5">
        <v>5</v>
      </c>
      <c r="E5" s="2"/>
    </row>
    <row r="6" spans="1:8" x14ac:dyDescent="0.55000000000000004">
      <c r="A6" t="s">
        <v>189</v>
      </c>
      <c r="B6">
        <v>10</v>
      </c>
      <c r="E6" s="2"/>
    </row>
    <row r="7" spans="1:8" x14ac:dyDescent="0.55000000000000004">
      <c r="A7" t="s">
        <v>190</v>
      </c>
      <c r="B7">
        <v>10</v>
      </c>
      <c r="E7" s="2"/>
    </row>
    <row r="8" spans="1:8" x14ac:dyDescent="0.55000000000000004">
      <c r="A8" t="s">
        <v>191</v>
      </c>
      <c r="B8">
        <v>5</v>
      </c>
      <c r="E8" s="2"/>
    </row>
    <row r="9" spans="1:8" x14ac:dyDescent="0.55000000000000004">
      <c r="A9" t="s">
        <v>192</v>
      </c>
      <c r="B9">
        <v>8</v>
      </c>
      <c r="E9" s="2"/>
    </row>
    <row r="10" spans="1:8" x14ac:dyDescent="0.55000000000000004">
      <c r="A10" t="s">
        <v>193</v>
      </c>
      <c r="B10">
        <v>12</v>
      </c>
      <c r="E10" s="2"/>
    </row>
    <row r="12" spans="1:8" x14ac:dyDescent="0.55000000000000004">
      <c r="A12" t="s">
        <v>194</v>
      </c>
      <c r="B12">
        <v>30</v>
      </c>
      <c r="E12" s="2"/>
    </row>
    <row r="13" spans="1:8" x14ac:dyDescent="0.55000000000000004">
      <c r="A13" t="s">
        <v>195</v>
      </c>
      <c r="B13">
        <v>35</v>
      </c>
      <c r="E13" s="2"/>
    </row>
    <row r="14" spans="1:8" x14ac:dyDescent="0.55000000000000004">
      <c r="A14" t="s">
        <v>196</v>
      </c>
      <c r="B14">
        <v>12</v>
      </c>
      <c r="E14" s="2"/>
    </row>
    <row r="15" spans="1:8" x14ac:dyDescent="0.55000000000000004">
      <c r="A15" t="s">
        <v>197</v>
      </c>
      <c r="B15">
        <v>8</v>
      </c>
      <c r="E15" s="2"/>
    </row>
    <row r="16" spans="1:8" x14ac:dyDescent="0.55000000000000004">
      <c r="A16" t="s">
        <v>198</v>
      </c>
      <c r="B16">
        <v>8</v>
      </c>
      <c r="E16" s="2"/>
    </row>
    <row r="18" spans="1:6" x14ac:dyDescent="0.55000000000000004">
      <c r="A18" t="s">
        <v>261</v>
      </c>
      <c r="B18">
        <v>88</v>
      </c>
      <c r="E18" s="2"/>
    </row>
    <row r="19" spans="1:6" x14ac:dyDescent="0.55000000000000004">
      <c r="A19" t="s">
        <v>199</v>
      </c>
      <c r="B19">
        <v>40</v>
      </c>
      <c r="E19" s="2"/>
    </row>
    <row r="20" spans="1:6" x14ac:dyDescent="0.55000000000000004">
      <c r="A20" t="s">
        <v>200</v>
      </c>
      <c r="B20">
        <v>15</v>
      </c>
      <c r="E20" s="2"/>
    </row>
    <row r="21" spans="1:6" x14ac:dyDescent="0.55000000000000004">
      <c r="A21" t="s">
        <v>201</v>
      </c>
      <c r="B21">
        <v>20</v>
      </c>
      <c r="E21" s="2"/>
    </row>
    <row r="22" spans="1:6" x14ac:dyDescent="0.55000000000000004">
      <c r="A22" t="s">
        <v>202</v>
      </c>
      <c r="B22">
        <v>13</v>
      </c>
      <c r="E22" s="2"/>
    </row>
    <row r="23" spans="1:6" x14ac:dyDescent="0.55000000000000004">
      <c r="A23" s="5" t="s">
        <v>203</v>
      </c>
      <c r="B23" s="5">
        <f>SUM(B4:B22)</f>
        <v>364</v>
      </c>
      <c r="C23" s="5"/>
      <c r="D23" s="5"/>
      <c r="E23" s="7"/>
      <c r="F23" s="5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7"/>
  <sheetViews>
    <sheetView tabSelected="1" workbookViewId="0">
      <selection activeCell="B10" sqref="B10"/>
    </sheetView>
  </sheetViews>
  <sheetFormatPr defaultRowHeight="14.4" x14ac:dyDescent="0.55000000000000004"/>
  <cols>
    <col min="1" max="1" width="19.7890625" bestFit="1" customWidth="1"/>
    <col min="2" max="2" width="10" customWidth="1"/>
    <col min="3" max="3" width="11" customWidth="1"/>
    <col min="4" max="5" width="10" customWidth="1"/>
    <col min="6" max="6" width="17" customWidth="1"/>
    <col min="7" max="7" width="15" customWidth="1"/>
    <col min="8" max="8" width="11" customWidth="1"/>
    <col min="9" max="9" width="15.62890625" customWidth="1"/>
  </cols>
  <sheetData>
    <row r="1" spans="1:9" x14ac:dyDescent="0.55000000000000004">
      <c r="A1" s="1" t="s">
        <v>204</v>
      </c>
      <c r="B1" s="1" t="s">
        <v>3</v>
      </c>
      <c r="C1" s="1" t="s">
        <v>205</v>
      </c>
      <c r="D1" s="1" t="s">
        <v>110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185</v>
      </c>
    </row>
    <row r="2" spans="1:9" x14ac:dyDescent="0.55000000000000004">
      <c r="A2" t="s">
        <v>224</v>
      </c>
      <c r="B2">
        <v>99</v>
      </c>
      <c r="C2">
        <v>10</v>
      </c>
      <c r="D2">
        <v>1</v>
      </c>
      <c r="E2" t="s">
        <v>210</v>
      </c>
      <c r="F2">
        <v>16</v>
      </c>
      <c r="G2">
        <v>100000</v>
      </c>
      <c r="H2">
        <v>100</v>
      </c>
      <c r="I2" s="2">
        <f>H2/G2*100</f>
        <v>0.1</v>
      </c>
    </row>
    <row r="3" spans="1:9" x14ac:dyDescent="0.55000000000000004">
      <c r="A3" t="s">
        <v>212</v>
      </c>
      <c r="B3">
        <v>98</v>
      </c>
      <c r="C3">
        <v>1000</v>
      </c>
      <c r="D3">
        <v>3</v>
      </c>
      <c r="E3" t="s">
        <v>210</v>
      </c>
      <c r="F3">
        <v>128</v>
      </c>
      <c r="G3">
        <v>1000</v>
      </c>
      <c r="H3">
        <v>150</v>
      </c>
      <c r="I3" s="2">
        <f>H3/G3*100</f>
        <v>15</v>
      </c>
    </row>
    <row r="4" spans="1:9" x14ac:dyDescent="0.55000000000000004">
      <c r="A4" t="s">
        <v>225</v>
      </c>
      <c r="B4">
        <v>98</v>
      </c>
      <c r="C4">
        <v>1000</v>
      </c>
      <c r="D4">
        <v>0</v>
      </c>
      <c r="E4" t="s">
        <v>226</v>
      </c>
      <c r="F4">
        <v>8</v>
      </c>
      <c r="G4">
        <v>1000</v>
      </c>
      <c r="H4">
        <v>50</v>
      </c>
      <c r="I4" s="2">
        <f>H3/G3*100</f>
        <v>15</v>
      </c>
    </row>
    <row r="5" spans="1:9" x14ac:dyDescent="0.55000000000000004">
      <c r="A5" t="s">
        <v>141</v>
      </c>
      <c r="B5">
        <v>92</v>
      </c>
      <c r="C5">
        <v>1000</v>
      </c>
      <c r="D5">
        <v>5</v>
      </c>
      <c r="E5" t="s">
        <v>210</v>
      </c>
      <c r="F5">
        <v>128</v>
      </c>
      <c r="G5">
        <v>80</v>
      </c>
      <c r="H5">
        <v>30</v>
      </c>
      <c r="I5" s="14">
        <v>0.03</v>
      </c>
    </row>
    <row r="6" spans="1:9" x14ac:dyDescent="0.55000000000000004">
      <c r="A6" t="s">
        <v>211</v>
      </c>
      <c r="B6">
        <v>82</v>
      </c>
      <c r="C6">
        <v>500</v>
      </c>
      <c r="D6">
        <v>2</v>
      </c>
      <c r="E6" t="s">
        <v>210</v>
      </c>
      <c r="F6">
        <v>32</v>
      </c>
      <c r="G6">
        <v>2000</v>
      </c>
      <c r="H6">
        <v>100</v>
      </c>
      <c r="I6" s="2">
        <f>H6/G6*100</f>
        <v>5</v>
      </c>
    </row>
    <row r="7" spans="1:9" x14ac:dyDescent="0.55000000000000004">
      <c r="A7" t="s">
        <v>128</v>
      </c>
      <c r="B7">
        <v>82</v>
      </c>
      <c r="C7">
        <v>100</v>
      </c>
      <c r="D7">
        <v>3</v>
      </c>
      <c r="E7" t="s">
        <v>210</v>
      </c>
      <c r="F7">
        <v>256</v>
      </c>
      <c r="G7">
        <v>10000</v>
      </c>
      <c r="H7">
        <v>80</v>
      </c>
      <c r="I7" s="2">
        <f>H7/G7*100</f>
        <v>0.8</v>
      </c>
    </row>
    <row r="8" spans="1:9" x14ac:dyDescent="0.55000000000000004">
      <c r="A8" t="s">
        <v>112</v>
      </c>
      <c r="B8">
        <v>78</v>
      </c>
      <c r="C8">
        <v>800</v>
      </c>
      <c r="D8">
        <v>2</v>
      </c>
      <c r="E8" t="s">
        <v>210</v>
      </c>
      <c r="F8">
        <v>52</v>
      </c>
      <c r="G8">
        <v>1250</v>
      </c>
      <c r="H8">
        <v>35</v>
      </c>
      <c r="I8" s="2">
        <f>H8/G8*100</f>
        <v>2.8000000000000003</v>
      </c>
    </row>
    <row r="9" spans="1:9" x14ac:dyDescent="0.55000000000000004">
      <c r="A9" t="s">
        <v>215</v>
      </c>
      <c r="B9">
        <v>78</v>
      </c>
      <c r="C9">
        <v>200</v>
      </c>
      <c r="D9">
        <v>4</v>
      </c>
      <c r="E9" t="s">
        <v>216</v>
      </c>
      <c r="F9">
        <v>64</v>
      </c>
      <c r="G9">
        <v>5000</v>
      </c>
      <c r="H9">
        <v>1000</v>
      </c>
      <c r="I9" s="2">
        <f>H9/G9*100</f>
        <v>20</v>
      </c>
    </row>
    <row r="10" spans="1:9" x14ac:dyDescent="0.55000000000000004">
      <c r="A10" t="s">
        <v>214</v>
      </c>
      <c r="B10">
        <v>75</v>
      </c>
      <c r="C10">
        <v>200</v>
      </c>
      <c r="D10">
        <v>3</v>
      </c>
      <c r="E10" t="s">
        <v>210</v>
      </c>
      <c r="F10">
        <v>32</v>
      </c>
      <c r="G10">
        <v>5000</v>
      </c>
      <c r="H10">
        <v>200</v>
      </c>
      <c r="I10" s="2">
        <f>H10/G10*100</f>
        <v>4</v>
      </c>
    </row>
    <row r="11" spans="1:9" x14ac:dyDescent="0.55000000000000004">
      <c r="A11" t="s">
        <v>213</v>
      </c>
      <c r="B11">
        <v>70</v>
      </c>
      <c r="C11">
        <v>150</v>
      </c>
      <c r="D11">
        <v>3</v>
      </c>
      <c r="E11" t="s">
        <v>210</v>
      </c>
      <c r="F11">
        <v>64</v>
      </c>
      <c r="G11">
        <v>6536</v>
      </c>
      <c r="H11">
        <v>50</v>
      </c>
      <c r="I11" s="2">
        <f>H11/G11*100</f>
        <v>0.76499388004895963</v>
      </c>
    </row>
    <row r="12" spans="1:9" x14ac:dyDescent="0.55000000000000004">
      <c r="A12" t="s">
        <v>219</v>
      </c>
      <c r="B12">
        <v>68</v>
      </c>
      <c r="C12">
        <v>50</v>
      </c>
      <c r="D12">
        <v>5</v>
      </c>
      <c r="E12" t="s">
        <v>216</v>
      </c>
      <c r="F12">
        <v>256</v>
      </c>
      <c r="G12">
        <v>2000</v>
      </c>
      <c r="H12">
        <v>300</v>
      </c>
      <c r="I12" s="2">
        <f>H12/G12*100</f>
        <v>15</v>
      </c>
    </row>
    <row r="13" spans="1:9" x14ac:dyDescent="0.55000000000000004">
      <c r="A13" t="s">
        <v>139</v>
      </c>
      <c r="B13">
        <v>65</v>
      </c>
      <c r="C13">
        <v>0.1</v>
      </c>
      <c r="D13">
        <v>5</v>
      </c>
      <c r="E13" t="s">
        <v>216</v>
      </c>
      <c r="F13">
        <v>32</v>
      </c>
      <c r="G13">
        <v>10000000</v>
      </c>
      <c r="H13">
        <v>200000</v>
      </c>
      <c r="I13" s="2">
        <f>H13/G13*100</f>
        <v>2</v>
      </c>
    </row>
    <row r="14" spans="1:9" x14ac:dyDescent="0.55000000000000004">
      <c r="A14" t="s">
        <v>134</v>
      </c>
      <c r="B14">
        <v>62</v>
      </c>
      <c r="C14">
        <v>15</v>
      </c>
      <c r="D14">
        <v>6</v>
      </c>
      <c r="E14" t="s">
        <v>216</v>
      </c>
      <c r="F14">
        <v>64</v>
      </c>
      <c r="G14">
        <v>66667</v>
      </c>
      <c r="H14">
        <v>2000</v>
      </c>
      <c r="I14" s="2">
        <f>H14/G14*100</f>
        <v>2.9999850000749997</v>
      </c>
    </row>
    <row r="15" spans="1:9" x14ac:dyDescent="0.55000000000000004">
      <c r="A15" t="s">
        <v>373</v>
      </c>
      <c r="B15">
        <v>55</v>
      </c>
      <c r="C15">
        <v>200</v>
      </c>
      <c r="D15">
        <v>4</v>
      </c>
      <c r="E15" t="s">
        <v>216</v>
      </c>
      <c r="F15">
        <v>256</v>
      </c>
      <c r="G15">
        <v>1000</v>
      </c>
      <c r="H15">
        <v>120</v>
      </c>
    </row>
    <row r="16" spans="1:9" x14ac:dyDescent="0.55000000000000004">
      <c r="A16" t="s">
        <v>374</v>
      </c>
      <c r="B16">
        <v>55</v>
      </c>
      <c r="C16">
        <v>200</v>
      </c>
      <c r="D16">
        <v>4</v>
      </c>
      <c r="E16" t="s">
        <v>216</v>
      </c>
      <c r="F16">
        <v>256</v>
      </c>
      <c r="G16">
        <v>1000</v>
      </c>
      <c r="H16">
        <v>120</v>
      </c>
    </row>
    <row r="17" spans="1:9" x14ac:dyDescent="0.55000000000000004">
      <c r="A17" t="s">
        <v>217</v>
      </c>
      <c r="B17">
        <v>50</v>
      </c>
      <c r="C17">
        <v>50</v>
      </c>
      <c r="D17">
        <v>4</v>
      </c>
      <c r="E17" t="s">
        <v>216</v>
      </c>
      <c r="F17">
        <v>128</v>
      </c>
      <c r="G17">
        <v>20000</v>
      </c>
      <c r="H17">
        <v>3500</v>
      </c>
      <c r="I17" s="2">
        <f>H17/G17*100</f>
        <v>17.5</v>
      </c>
    </row>
    <row r="18" spans="1:9" x14ac:dyDescent="0.55000000000000004">
      <c r="A18" t="s">
        <v>218</v>
      </c>
      <c r="B18">
        <v>50</v>
      </c>
      <c r="C18">
        <v>50</v>
      </c>
      <c r="D18">
        <v>5</v>
      </c>
      <c r="E18" t="s">
        <v>216</v>
      </c>
      <c r="F18">
        <v>256</v>
      </c>
      <c r="G18">
        <v>20000</v>
      </c>
      <c r="H18">
        <v>2000</v>
      </c>
      <c r="I18" s="2">
        <f>H18/G18*100</f>
        <v>10</v>
      </c>
    </row>
    <row r="19" spans="1:9" x14ac:dyDescent="0.55000000000000004">
      <c r="A19" t="s">
        <v>221</v>
      </c>
      <c r="B19">
        <v>40</v>
      </c>
      <c r="C19" t="s">
        <v>222</v>
      </c>
      <c r="D19">
        <v>7</v>
      </c>
      <c r="E19" t="s">
        <v>216</v>
      </c>
      <c r="F19">
        <v>256</v>
      </c>
      <c r="G19" t="s">
        <v>14</v>
      </c>
      <c r="H19" t="s">
        <v>14</v>
      </c>
      <c r="I19">
        <v>15</v>
      </c>
    </row>
    <row r="20" spans="1:9" x14ac:dyDescent="0.55000000000000004">
      <c r="A20" t="s">
        <v>223</v>
      </c>
      <c r="B20">
        <v>35</v>
      </c>
      <c r="C20" t="s">
        <v>222</v>
      </c>
      <c r="D20">
        <v>7</v>
      </c>
      <c r="E20" t="s">
        <v>216</v>
      </c>
      <c r="F20">
        <v>128</v>
      </c>
      <c r="G20" t="s">
        <v>14</v>
      </c>
      <c r="H20" t="s">
        <v>14</v>
      </c>
      <c r="I20">
        <v>10</v>
      </c>
    </row>
    <row r="22" spans="1:9" x14ac:dyDescent="0.55000000000000004">
      <c r="I22" s="2"/>
    </row>
    <row r="23" spans="1:9" x14ac:dyDescent="0.55000000000000004">
      <c r="I23" s="2"/>
    </row>
    <row r="24" spans="1:9" x14ac:dyDescent="0.55000000000000004">
      <c r="I24" s="2"/>
    </row>
    <row r="25" spans="1:9" x14ac:dyDescent="0.55000000000000004">
      <c r="I25" s="2"/>
    </row>
    <row r="26" spans="1:9" x14ac:dyDescent="0.55000000000000004">
      <c r="I26" s="2"/>
    </row>
    <row r="27" spans="1:9" x14ac:dyDescent="0.55000000000000004">
      <c r="I27" s="2"/>
    </row>
    <row r="28" spans="1:9" x14ac:dyDescent="0.55000000000000004">
      <c r="I28" s="2"/>
    </row>
    <row r="29" spans="1:9" x14ac:dyDescent="0.55000000000000004">
      <c r="I29" s="2"/>
    </row>
    <row r="30" spans="1:9" x14ac:dyDescent="0.55000000000000004">
      <c r="I30" s="2"/>
    </row>
    <row r="31" spans="1:9" x14ac:dyDescent="0.55000000000000004">
      <c r="I31" s="2"/>
    </row>
    <row r="32" spans="1:9" x14ac:dyDescent="0.55000000000000004">
      <c r="I32" s="2"/>
    </row>
    <row r="33" spans="9:9" x14ac:dyDescent="0.55000000000000004">
      <c r="I33" s="2"/>
    </row>
    <row r="36" spans="9:9" x14ac:dyDescent="0.55000000000000004">
      <c r="I36" s="2"/>
    </row>
    <row r="37" spans="9:9" x14ac:dyDescent="0.55000000000000004">
      <c r="I37" s="2"/>
    </row>
  </sheetData>
  <autoFilter ref="A1:I1" xr:uid="{00000000-0001-0000-0500-000000000000}">
    <sortState xmlns:xlrd2="http://schemas.microsoft.com/office/spreadsheetml/2017/richdata2" ref="A2:I20">
      <sortCondition descending="1" ref="B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workbookViewId="0">
      <selection activeCell="G6" sqref="G6"/>
    </sheetView>
  </sheetViews>
  <sheetFormatPr defaultRowHeight="14.4" x14ac:dyDescent="0.55000000000000004"/>
  <cols>
    <col min="1" max="1" width="50" customWidth="1"/>
    <col min="2" max="2" width="23" customWidth="1"/>
    <col min="3" max="3" width="22" customWidth="1"/>
    <col min="4" max="4" width="16" customWidth="1"/>
    <col min="5" max="5" width="19" customWidth="1"/>
    <col min="6" max="6" width="17" customWidth="1"/>
    <col min="7" max="7" width="14" customWidth="1"/>
    <col min="8" max="8" width="13" customWidth="1"/>
  </cols>
  <sheetData>
    <row r="1" spans="1:8" ht="18.3" x14ac:dyDescent="0.7">
      <c r="A1" s="11" t="s">
        <v>227</v>
      </c>
      <c r="B1" s="9"/>
      <c r="C1" s="9"/>
      <c r="D1" s="9"/>
      <c r="E1" s="9"/>
      <c r="F1" s="9"/>
      <c r="G1" s="9"/>
      <c r="H1" s="9"/>
    </row>
    <row r="3" spans="1:8" x14ac:dyDescent="0.55000000000000004">
      <c r="A3" s="1" t="s">
        <v>0</v>
      </c>
      <c r="B3" s="1" t="s">
        <v>145</v>
      </c>
      <c r="C3" s="1" t="s">
        <v>228</v>
      </c>
      <c r="D3" s="1" t="s">
        <v>229</v>
      </c>
      <c r="E3" s="1" t="s">
        <v>230</v>
      </c>
      <c r="F3" s="1" t="s">
        <v>231</v>
      </c>
      <c r="G3" s="1" t="s">
        <v>232</v>
      </c>
    </row>
    <row r="4" spans="1:8" x14ac:dyDescent="0.55000000000000004">
      <c r="A4" t="s">
        <v>233</v>
      </c>
      <c r="B4" t="s">
        <v>368</v>
      </c>
      <c r="C4">
        <v>100</v>
      </c>
      <c r="D4" t="s">
        <v>234</v>
      </c>
      <c r="E4" t="s">
        <v>235</v>
      </c>
      <c r="F4" t="s">
        <v>236</v>
      </c>
      <c r="G4">
        <v>100000</v>
      </c>
    </row>
    <row r="5" spans="1:8" x14ac:dyDescent="0.55000000000000004">
      <c r="A5" t="s">
        <v>237</v>
      </c>
      <c r="B5" t="s">
        <v>238</v>
      </c>
      <c r="C5">
        <v>200</v>
      </c>
      <c r="D5" t="s">
        <v>239</v>
      </c>
      <c r="E5" t="s">
        <v>240</v>
      </c>
      <c r="F5" t="s">
        <v>241</v>
      </c>
      <c r="G5">
        <v>50000</v>
      </c>
    </row>
    <row r="6" spans="1:8" x14ac:dyDescent="0.55000000000000004">
      <c r="A6" t="s">
        <v>242</v>
      </c>
      <c r="B6" t="s">
        <v>243</v>
      </c>
      <c r="C6">
        <v>50</v>
      </c>
      <c r="D6" t="s">
        <v>244</v>
      </c>
      <c r="E6" t="s">
        <v>245</v>
      </c>
      <c r="F6" t="s">
        <v>246</v>
      </c>
      <c r="G6" t="s">
        <v>14</v>
      </c>
    </row>
    <row r="7" spans="1:8" x14ac:dyDescent="0.55000000000000004">
      <c r="A7" t="s">
        <v>247</v>
      </c>
      <c r="B7" t="s">
        <v>248</v>
      </c>
      <c r="C7">
        <v>10</v>
      </c>
      <c r="D7" t="s">
        <v>249</v>
      </c>
      <c r="E7" t="s">
        <v>250</v>
      </c>
      <c r="F7" t="s">
        <v>251</v>
      </c>
      <c r="G7" t="s">
        <v>14</v>
      </c>
    </row>
    <row r="9" spans="1:8" x14ac:dyDescent="0.55000000000000004">
      <c r="A9" t="s">
        <v>252</v>
      </c>
    </row>
    <row r="10" spans="1:8" x14ac:dyDescent="0.55000000000000004">
      <c r="A10" t="s">
        <v>243</v>
      </c>
      <c r="B10" t="s">
        <v>208</v>
      </c>
      <c r="C10" t="s">
        <v>253</v>
      </c>
      <c r="D10" t="s">
        <v>166</v>
      </c>
      <c r="E10" t="s">
        <v>254</v>
      </c>
    </row>
    <row r="11" spans="1:8" x14ac:dyDescent="0.55000000000000004">
      <c r="A11" t="s">
        <v>112</v>
      </c>
      <c r="B11">
        <v>1250</v>
      </c>
      <c r="C11" t="s">
        <v>255</v>
      </c>
      <c r="D11" t="s">
        <v>256</v>
      </c>
      <c r="E11">
        <v>3</v>
      </c>
    </row>
    <row r="12" spans="1:8" x14ac:dyDescent="0.55000000000000004">
      <c r="A12" t="s">
        <v>212</v>
      </c>
      <c r="B12">
        <v>1000</v>
      </c>
      <c r="C12" t="s">
        <v>257</v>
      </c>
      <c r="D12" t="s">
        <v>258</v>
      </c>
      <c r="E12">
        <v>1</v>
      </c>
    </row>
    <row r="13" spans="1:8" x14ac:dyDescent="0.55000000000000004">
      <c r="A13" t="s">
        <v>128</v>
      </c>
      <c r="B13">
        <v>10000</v>
      </c>
      <c r="C13" t="s">
        <v>259</v>
      </c>
      <c r="D13" t="s">
        <v>260</v>
      </c>
      <c r="E13">
        <v>5</v>
      </c>
    </row>
    <row r="14" spans="1:8" x14ac:dyDescent="0.55000000000000004">
      <c r="A14" t="s">
        <v>261</v>
      </c>
      <c r="B14">
        <v>50000</v>
      </c>
      <c r="C14" t="s">
        <v>262</v>
      </c>
      <c r="D14" t="s">
        <v>263</v>
      </c>
      <c r="E14">
        <v>2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"/>
  <sheetViews>
    <sheetView workbookViewId="0">
      <selection activeCell="F6" sqref="F6"/>
    </sheetView>
  </sheetViews>
  <sheetFormatPr defaultRowHeight="14.4" x14ac:dyDescent="0.55000000000000004"/>
  <cols>
    <col min="1" max="1" width="13" customWidth="1"/>
    <col min="2" max="2" width="18" customWidth="1"/>
    <col min="3" max="3" width="19" customWidth="1"/>
    <col min="4" max="4" width="13" customWidth="1"/>
    <col min="5" max="5" width="14" customWidth="1"/>
    <col min="6" max="6" width="16" customWidth="1"/>
    <col min="7" max="7" width="13" customWidth="1"/>
    <col min="8" max="8" width="14" customWidth="1"/>
  </cols>
  <sheetData>
    <row r="1" spans="1:8" x14ac:dyDescent="0.55000000000000004">
      <c r="A1" s="1" t="s">
        <v>0</v>
      </c>
      <c r="B1" s="1" t="s">
        <v>50</v>
      </c>
      <c r="C1" s="1" t="s">
        <v>264</v>
      </c>
      <c r="D1" s="1" t="s">
        <v>265</v>
      </c>
      <c r="E1" s="1" t="s">
        <v>105</v>
      </c>
      <c r="F1" s="1" t="s">
        <v>1</v>
      </c>
      <c r="G1" s="1" t="s">
        <v>266</v>
      </c>
      <c r="H1" s="1" t="s">
        <v>267</v>
      </c>
    </row>
    <row r="2" spans="1:8" x14ac:dyDescent="0.55000000000000004">
      <c r="A2" t="s">
        <v>132</v>
      </c>
      <c r="B2">
        <v>949</v>
      </c>
      <c r="C2">
        <v>84540</v>
      </c>
      <c r="D2" s="2">
        <f t="shared" ref="D2:D7" si="0">B2/940*100</f>
        <v>100.95744680851064</v>
      </c>
      <c r="E2" s="2">
        <f t="shared" ref="E2:E7" si="1">B2/9400*100</f>
        <v>10.095744680851064</v>
      </c>
      <c r="F2" t="s">
        <v>268</v>
      </c>
      <c r="G2" s="3" t="s">
        <v>269</v>
      </c>
      <c r="H2" s="6" t="s">
        <v>270</v>
      </c>
    </row>
    <row r="3" spans="1:8" x14ac:dyDescent="0.55000000000000004">
      <c r="A3" t="s">
        <v>130</v>
      </c>
      <c r="B3">
        <v>419.4</v>
      </c>
      <c r="C3">
        <v>35640</v>
      </c>
      <c r="D3" s="2">
        <f t="shared" si="0"/>
        <v>44.617021276595743</v>
      </c>
      <c r="E3" s="2">
        <f t="shared" si="1"/>
        <v>4.4617021276595743</v>
      </c>
      <c r="F3" t="s">
        <v>13</v>
      </c>
      <c r="G3" t="s">
        <v>270</v>
      </c>
      <c r="H3" s="6" t="s">
        <v>270</v>
      </c>
    </row>
    <row r="4" spans="1:8" x14ac:dyDescent="0.55000000000000004">
      <c r="A4" t="s">
        <v>128</v>
      </c>
      <c r="B4">
        <v>12.8</v>
      </c>
      <c r="C4">
        <v>100</v>
      </c>
      <c r="D4" s="2">
        <f t="shared" si="0"/>
        <v>1.3617021276595747</v>
      </c>
      <c r="E4" s="2">
        <f t="shared" si="1"/>
        <v>0.13617021276595745</v>
      </c>
      <c r="F4" t="s">
        <v>271</v>
      </c>
      <c r="G4" t="s">
        <v>270</v>
      </c>
      <c r="H4" s="6" t="s">
        <v>270</v>
      </c>
    </row>
    <row r="5" spans="1:8" x14ac:dyDescent="0.55000000000000004">
      <c r="A5" t="s">
        <v>272</v>
      </c>
      <c r="B5">
        <v>0.16</v>
      </c>
      <c r="C5">
        <v>153</v>
      </c>
      <c r="D5" s="2">
        <f t="shared" si="0"/>
        <v>1.7021276595744681E-2</v>
      </c>
      <c r="E5" s="2">
        <f t="shared" si="1"/>
        <v>1.7021276595744683E-3</v>
      </c>
      <c r="F5" t="s">
        <v>13</v>
      </c>
      <c r="G5" t="s">
        <v>270</v>
      </c>
      <c r="H5" s="6" t="s">
        <v>270</v>
      </c>
    </row>
    <row r="6" spans="1:8" x14ac:dyDescent="0.55000000000000004">
      <c r="A6" t="s">
        <v>134</v>
      </c>
      <c r="B6">
        <v>0.06</v>
      </c>
      <c r="C6">
        <v>15</v>
      </c>
      <c r="D6" s="2">
        <f t="shared" si="0"/>
        <v>6.382978723404255E-3</v>
      </c>
      <c r="E6" s="2">
        <f t="shared" si="1"/>
        <v>6.382978723404255E-4</v>
      </c>
      <c r="F6" t="s">
        <v>220</v>
      </c>
      <c r="G6" t="s">
        <v>270</v>
      </c>
      <c r="H6" s="6" t="s">
        <v>270</v>
      </c>
    </row>
    <row r="7" spans="1:8" x14ac:dyDescent="0.55000000000000004">
      <c r="A7" s="5" t="s">
        <v>273</v>
      </c>
      <c r="B7" s="5">
        <f>SUM(B2:B6)</f>
        <v>1381.42</v>
      </c>
      <c r="C7" s="5">
        <f>SUM(C2:C6)</f>
        <v>120448</v>
      </c>
      <c r="D7" s="7">
        <f t="shared" si="0"/>
        <v>146.95957446808512</v>
      </c>
      <c r="E7" s="7">
        <f t="shared" si="1"/>
        <v>14.69595744680851</v>
      </c>
      <c r="F7" s="5"/>
      <c r="G7" s="5"/>
      <c r="H7" s="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1"/>
  <sheetViews>
    <sheetView workbookViewId="0">
      <selection activeCell="I12" sqref="I12"/>
    </sheetView>
  </sheetViews>
  <sheetFormatPr defaultRowHeight="14.4" x14ac:dyDescent="0.55000000000000004"/>
  <cols>
    <col min="1" max="1" width="25" customWidth="1"/>
    <col min="2" max="2" width="18" customWidth="1"/>
    <col min="3" max="3" width="14" customWidth="1"/>
    <col min="4" max="5" width="18" customWidth="1"/>
    <col min="6" max="6" width="14" customWidth="1"/>
  </cols>
  <sheetData>
    <row r="1" spans="1:6" x14ac:dyDescent="0.55000000000000004">
      <c r="A1" s="1" t="s">
        <v>274</v>
      </c>
      <c r="B1" s="1" t="s">
        <v>275</v>
      </c>
      <c r="C1" s="1" t="s">
        <v>276</v>
      </c>
      <c r="D1" s="1" t="s">
        <v>277</v>
      </c>
      <c r="E1" s="1" t="s">
        <v>98</v>
      </c>
      <c r="F1" s="1" t="s">
        <v>148</v>
      </c>
    </row>
    <row r="2" spans="1:6" x14ac:dyDescent="0.55000000000000004">
      <c r="A2" t="s">
        <v>278</v>
      </c>
      <c r="B2" t="s">
        <v>279</v>
      </c>
      <c r="C2">
        <v>104</v>
      </c>
      <c r="D2" t="s">
        <v>212</v>
      </c>
      <c r="E2">
        <v>1000</v>
      </c>
      <c r="F2" t="s">
        <v>280</v>
      </c>
    </row>
    <row r="3" spans="1:6" x14ac:dyDescent="0.55000000000000004">
      <c r="A3" t="s">
        <v>281</v>
      </c>
      <c r="B3" t="s">
        <v>282</v>
      </c>
      <c r="C3">
        <v>128</v>
      </c>
      <c r="D3" t="s">
        <v>212</v>
      </c>
      <c r="E3">
        <v>1000</v>
      </c>
      <c r="F3" t="s">
        <v>280</v>
      </c>
    </row>
    <row r="4" spans="1:6" x14ac:dyDescent="0.55000000000000004">
      <c r="A4" t="s">
        <v>283</v>
      </c>
      <c r="B4" t="s">
        <v>284</v>
      </c>
      <c r="C4">
        <v>64</v>
      </c>
      <c r="D4" t="s">
        <v>285</v>
      </c>
      <c r="E4">
        <v>800</v>
      </c>
      <c r="F4" t="s">
        <v>280</v>
      </c>
    </row>
    <row r="5" spans="1:6" x14ac:dyDescent="0.55000000000000004">
      <c r="A5" t="s">
        <v>286</v>
      </c>
      <c r="B5" t="s">
        <v>287</v>
      </c>
      <c r="C5">
        <v>176</v>
      </c>
      <c r="D5" t="s">
        <v>288</v>
      </c>
      <c r="E5">
        <v>100</v>
      </c>
      <c r="F5" t="s">
        <v>280</v>
      </c>
    </row>
    <row r="6" spans="1:6" x14ac:dyDescent="0.55000000000000004">
      <c r="A6" t="s">
        <v>289</v>
      </c>
      <c r="B6" t="s">
        <v>290</v>
      </c>
      <c r="C6">
        <v>32</v>
      </c>
      <c r="D6" t="s">
        <v>218</v>
      </c>
      <c r="E6">
        <v>50</v>
      </c>
      <c r="F6" t="s">
        <v>280</v>
      </c>
    </row>
    <row r="7" spans="1:6" x14ac:dyDescent="0.55000000000000004">
      <c r="A7" t="s">
        <v>291</v>
      </c>
      <c r="B7" t="s">
        <v>292</v>
      </c>
      <c r="C7">
        <v>64</v>
      </c>
      <c r="D7" t="s">
        <v>218</v>
      </c>
      <c r="E7">
        <v>10</v>
      </c>
      <c r="F7" t="s">
        <v>280</v>
      </c>
    </row>
    <row r="8" spans="1:6" x14ac:dyDescent="0.55000000000000004">
      <c r="A8" t="s">
        <v>293</v>
      </c>
      <c r="B8" t="s">
        <v>294</v>
      </c>
      <c r="C8">
        <v>256</v>
      </c>
      <c r="D8" t="s">
        <v>199</v>
      </c>
      <c r="E8">
        <v>20</v>
      </c>
      <c r="F8" t="s">
        <v>280</v>
      </c>
    </row>
    <row r="9" spans="1:6" x14ac:dyDescent="0.55000000000000004">
      <c r="A9" t="s">
        <v>295</v>
      </c>
      <c r="B9" t="s">
        <v>296</v>
      </c>
      <c r="C9">
        <v>256</v>
      </c>
      <c r="D9" t="s">
        <v>199</v>
      </c>
      <c r="E9">
        <v>20</v>
      </c>
      <c r="F9" t="s">
        <v>280</v>
      </c>
    </row>
    <row r="10" spans="1:6" x14ac:dyDescent="0.55000000000000004">
      <c r="A10" t="s">
        <v>297</v>
      </c>
      <c r="B10" t="s">
        <v>298</v>
      </c>
      <c r="C10">
        <v>48</v>
      </c>
      <c r="D10" t="s">
        <v>157</v>
      </c>
      <c r="E10">
        <v>100</v>
      </c>
      <c r="F10" t="s">
        <v>280</v>
      </c>
    </row>
    <row r="11" spans="1:6" x14ac:dyDescent="0.55000000000000004">
      <c r="A11" t="s">
        <v>299</v>
      </c>
      <c r="B11" t="s">
        <v>300</v>
      </c>
      <c r="C11">
        <v>16</v>
      </c>
      <c r="D11" t="s">
        <v>235</v>
      </c>
      <c r="E11">
        <v>10</v>
      </c>
      <c r="F11" t="s">
        <v>280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9"/>
  <sheetViews>
    <sheetView workbookViewId="0">
      <selection activeCell="B9" sqref="B9"/>
    </sheetView>
  </sheetViews>
  <sheetFormatPr defaultRowHeight="14.4" x14ac:dyDescent="0.55000000000000004"/>
  <cols>
    <col min="1" max="2" width="19" customWidth="1"/>
    <col min="3" max="3" width="18" customWidth="1"/>
    <col min="4" max="4" width="5" customWidth="1"/>
    <col min="5" max="5" width="13" customWidth="1"/>
    <col min="6" max="6" width="22" customWidth="1"/>
    <col min="7" max="7" width="12" customWidth="1"/>
  </cols>
  <sheetData>
    <row r="1" spans="1:7" x14ac:dyDescent="0.55000000000000004">
      <c r="A1" s="1" t="s">
        <v>301</v>
      </c>
      <c r="B1" s="1" t="s">
        <v>302</v>
      </c>
      <c r="C1" s="1" t="s">
        <v>303</v>
      </c>
      <c r="D1" s="1" t="s">
        <v>304</v>
      </c>
      <c r="E1" s="1" t="s">
        <v>305</v>
      </c>
      <c r="F1" s="1" t="s">
        <v>367</v>
      </c>
      <c r="G1" s="1" t="s">
        <v>306</v>
      </c>
    </row>
    <row r="2" spans="1:7" x14ac:dyDescent="0.55000000000000004">
      <c r="A2" t="s">
        <v>307</v>
      </c>
      <c r="B2" t="s">
        <v>308</v>
      </c>
      <c r="F2" t="s">
        <v>309</v>
      </c>
    </row>
    <row r="3" spans="1:7" x14ac:dyDescent="0.55000000000000004">
      <c r="A3" t="s">
        <v>310</v>
      </c>
      <c r="B3" t="s">
        <v>311</v>
      </c>
      <c r="F3" t="s">
        <v>312</v>
      </c>
    </row>
    <row r="4" spans="1:7" x14ac:dyDescent="0.55000000000000004">
      <c r="A4" t="s">
        <v>313</v>
      </c>
      <c r="B4" t="s">
        <v>314</v>
      </c>
      <c r="F4" t="s">
        <v>315</v>
      </c>
    </row>
    <row r="5" spans="1:7" x14ac:dyDescent="0.55000000000000004">
      <c r="A5" t="s">
        <v>316</v>
      </c>
      <c r="B5" t="s">
        <v>314</v>
      </c>
      <c r="F5" t="s">
        <v>317</v>
      </c>
    </row>
    <row r="6" spans="1:7" x14ac:dyDescent="0.55000000000000004">
      <c r="A6" t="s">
        <v>318</v>
      </c>
      <c r="B6" t="s">
        <v>314</v>
      </c>
      <c r="F6" t="s">
        <v>320</v>
      </c>
    </row>
    <row r="7" spans="1:7" x14ac:dyDescent="0.55000000000000004">
      <c r="A7" t="s">
        <v>322</v>
      </c>
      <c r="B7" t="s">
        <v>323</v>
      </c>
      <c r="F7" t="s">
        <v>324</v>
      </c>
    </row>
    <row r="8" spans="1:7" x14ac:dyDescent="0.55000000000000004">
      <c r="A8" t="s">
        <v>325</v>
      </c>
      <c r="B8" t="s">
        <v>314</v>
      </c>
      <c r="F8" t="s">
        <v>326</v>
      </c>
    </row>
    <row r="9" spans="1:7" x14ac:dyDescent="0.55000000000000004">
      <c r="A9" t="s">
        <v>224</v>
      </c>
      <c r="B9" t="s">
        <v>314</v>
      </c>
      <c r="F9" t="s">
        <v>327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"/>
  <sheetViews>
    <sheetView workbookViewId="0">
      <selection activeCell="B21" sqref="B21"/>
    </sheetView>
  </sheetViews>
  <sheetFormatPr defaultRowHeight="14.4" x14ac:dyDescent="0.55000000000000004"/>
  <cols>
    <col min="1" max="1" width="46" customWidth="1"/>
    <col min="2" max="2" width="13" customWidth="1"/>
    <col min="3" max="3" width="16" customWidth="1"/>
    <col min="4" max="4" width="15" customWidth="1"/>
    <col min="5" max="5" width="12" customWidth="1"/>
    <col min="6" max="6" width="21" customWidth="1"/>
  </cols>
  <sheetData>
    <row r="1" spans="1:6" ht="18.3" x14ac:dyDescent="0.7">
      <c r="A1" s="12" t="s">
        <v>328</v>
      </c>
      <c r="B1" s="9"/>
      <c r="C1" s="9"/>
      <c r="D1" s="9"/>
      <c r="E1" s="9"/>
      <c r="F1" s="9"/>
    </row>
    <row r="3" spans="1:6" ht="28.8" x14ac:dyDescent="0.55000000000000004">
      <c r="A3" s="1" t="s">
        <v>329</v>
      </c>
      <c r="B3" s="1" t="s">
        <v>330</v>
      </c>
      <c r="C3" s="1" t="s">
        <v>28</v>
      </c>
      <c r="D3" s="1" t="s">
        <v>331</v>
      </c>
      <c r="E3" s="1" t="s">
        <v>332</v>
      </c>
    </row>
    <row r="4" spans="1:6" x14ac:dyDescent="0.55000000000000004">
      <c r="A4" t="s">
        <v>333</v>
      </c>
      <c r="B4" t="s">
        <v>334</v>
      </c>
      <c r="C4" t="s">
        <v>335</v>
      </c>
      <c r="D4" s="3" t="s">
        <v>336</v>
      </c>
      <c r="E4" s="3" t="s">
        <v>269</v>
      </c>
    </row>
    <row r="5" spans="1:6" x14ac:dyDescent="0.55000000000000004">
      <c r="A5" t="s">
        <v>337</v>
      </c>
      <c r="B5" t="s">
        <v>334</v>
      </c>
      <c r="C5" s="14">
        <v>0.28000000000000003</v>
      </c>
      <c r="D5" s="3" t="s">
        <v>336</v>
      </c>
      <c r="E5" s="3" t="s">
        <v>269</v>
      </c>
    </row>
    <row r="6" spans="1:6" x14ac:dyDescent="0.55000000000000004">
      <c r="A6" t="s">
        <v>338</v>
      </c>
      <c r="B6" t="s">
        <v>339</v>
      </c>
      <c r="C6" t="s">
        <v>369</v>
      </c>
      <c r="D6" s="3" t="s">
        <v>336</v>
      </c>
      <c r="E6" s="3" t="s">
        <v>269</v>
      </c>
    </row>
    <row r="7" spans="1:6" x14ac:dyDescent="0.55000000000000004">
      <c r="A7" t="s">
        <v>340</v>
      </c>
      <c r="B7" t="s">
        <v>339</v>
      </c>
      <c r="C7" t="s">
        <v>369</v>
      </c>
      <c r="D7" s="3" t="s">
        <v>336</v>
      </c>
      <c r="E7" s="3" t="s">
        <v>269</v>
      </c>
    </row>
    <row r="8" spans="1:6" x14ac:dyDescent="0.55000000000000004">
      <c r="A8" t="s">
        <v>341</v>
      </c>
      <c r="B8" t="s">
        <v>334</v>
      </c>
      <c r="C8" t="s">
        <v>342</v>
      </c>
      <c r="D8" s="3" t="s">
        <v>336</v>
      </c>
      <c r="E8" s="3" t="s">
        <v>269</v>
      </c>
    </row>
    <row r="9" spans="1:6" x14ac:dyDescent="0.55000000000000004">
      <c r="A9" t="s">
        <v>343</v>
      </c>
      <c r="B9" t="s">
        <v>344</v>
      </c>
      <c r="C9" t="s">
        <v>345</v>
      </c>
      <c r="D9" s="3" t="s">
        <v>336</v>
      </c>
      <c r="E9" s="3" t="s">
        <v>269</v>
      </c>
    </row>
    <row r="10" spans="1:6" x14ac:dyDescent="0.55000000000000004">
      <c r="A10" t="s">
        <v>346</v>
      </c>
      <c r="B10" t="s">
        <v>347</v>
      </c>
      <c r="C10" t="s">
        <v>348</v>
      </c>
      <c r="D10" s="3" t="s">
        <v>336</v>
      </c>
      <c r="E10" s="3" t="s">
        <v>269</v>
      </c>
    </row>
    <row r="11" spans="1:6" x14ac:dyDescent="0.55000000000000004">
      <c r="A11" t="s">
        <v>349</v>
      </c>
      <c r="B11" t="s">
        <v>347</v>
      </c>
      <c r="C11" t="s">
        <v>350</v>
      </c>
      <c r="D11" s="3" t="s">
        <v>336</v>
      </c>
      <c r="E11" s="3" t="s">
        <v>269</v>
      </c>
    </row>
    <row r="12" spans="1:6" x14ac:dyDescent="0.55000000000000004">
      <c r="A12" t="s">
        <v>351</v>
      </c>
      <c r="B12" t="s">
        <v>352</v>
      </c>
      <c r="C12" t="s">
        <v>353</v>
      </c>
      <c r="D12" s="3" t="s">
        <v>336</v>
      </c>
      <c r="E12" s="3" t="s">
        <v>269</v>
      </c>
    </row>
    <row r="13" spans="1:6" x14ac:dyDescent="0.55000000000000004">
      <c r="A13" t="s">
        <v>354</v>
      </c>
      <c r="B13" t="s">
        <v>344</v>
      </c>
      <c r="C13" t="s">
        <v>319</v>
      </c>
      <c r="D13" s="3" t="s">
        <v>336</v>
      </c>
      <c r="E13" s="3" t="s">
        <v>269</v>
      </c>
    </row>
    <row r="14" spans="1:6" x14ac:dyDescent="0.55000000000000004">
      <c r="A14" t="s">
        <v>355</v>
      </c>
      <c r="B14" t="s">
        <v>356</v>
      </c>
      <c r="C14" t="s">
        <v>314</v>
      </c>
      <c r="D14" s="3" t="s">
        <v>336</v>
      </c>
      <c r="E14" s="3" t="s">
        <v>269</v>
      </c>
    </row>
    <row r="15" spans="1:6" x14ac:dyDescent="0.55000000000000004">
      <c r="A15" t="s">
        <v>357</v>
      </c>
      <c r="B15" t="s">
        <v>321</v>
      </c>
      <c r="C15" t="s">
        <v>369</v>
      </c>
      <c r="D15" s="3" t="s">
        <v>336</v>
      </c>
      <c r="E15" s="3" t="s">
        <v>269</v>
      </c>
    </row>
    <row r="17" spans="1:6" ht="15.6" x14ac:dyDescent="0.6">
      <c r="A17" s="13" t="s">
        <v>358</v>
      </c>
      <c r="B17" s="9"/>
      <c r="C17" s="9"/>
      <c r="D17" s="9"/>
      <c r="E17" s="9"/>
      <c r="F17" s="9"/>
    </row>
    <row r="18" spans="1:6" x14ac:dyDescent="0.55000000000000004">
      <c r="A18" t="s">
        <v>359</v>
      </c>
      <c r="B18">
        <v>12</v>
      </c>
      <c r="F18" t="s">
        <v>360</v>
      </c>
    </row>
    <row r="19" spans="1:6" x14ac:dyDescent="0.55000000000000004">
      <c r="A19" t="s">
        <v>361</v>
      </c>
      <c r="B19">
        <v>4</v>
      </c>
      <c r="E19" s="14"/>
      <c r="F19" t="s">
        <v>362</v>
      </c>
    </row>
    <row r="20" spans="1:6" x14ac:dyDescent="0.55000000000000004">
      <c r="A20" t="s">
        <v>363</v>
      </c>
      <c r="B20" t="s">
        <v>370</v>
      </c>
    </row>
  </sheetData>
  <mergeCells count="2">
    <mergeCell ref="A1:F1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Critical Path Analysis</vt:lpstr>
      <vt:lpstr>CHARM Mode Arbitration</vt:lpstr>
      <vt:lpstr>Sensor Bandwidth</vt:lpstr>
      <vt:lpstr>Dual EKF Status</vt:lpstr>
      <vt:lpstr>Memory Budget</vt:lpstr>
      <vt:lpstr>Thread Architecture</vt:lpstr>
      <vt:lpstr>Hardware Watchdog</vt:lpstr>
      <vt:lpstr>Network Analysis</vt:lpstr>
      <vt:lpstr>IPC Interface</vt:lpstr>
      <vt:lpstr>Test Coverage</vt:lpstr>
      <vt:lpstr>Compliance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Gabe Rodriguez</cp:lastModifiedBy>
  <dcterms:created xsi:type="dcterms:W3CDTF">2025-11-19T10:32:53Z</dcterms:created>
  <dcterms:modified xsi:type="dcterms:W3CDTF">2025-11-19T12:22:06Z</dcterms:modified>
</cp:coreProperties>
</file>